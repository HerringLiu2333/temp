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44212\Desktop\"/>
    </mc:Choice>
  </mc:AlternateContent>
  <xr:revisionPtr revIDLastSave="0" documentId="13_ncr:1_{7E5D3C21-0973-46EF-91F6-52B91861A87C}" xr6:coauthVersionLast="47" xr6:coauthVersionMax="47" xr10:uidLastSave="{00000000-0000-0000-0000-000000000000}"/>
  <bookViews>
    <workbookView xWindow="-110" yWindow="-110" windowWidth="25820" windowHeight="15500" activeTab="1" xr2:uid="{8D6FFFD3-7C51-423A-9B49-BBEA6E278270}"/>
  </bookViews>
  <sheets>
    <sheet name="time_CVE" sheetId="3" r:id="rId1"/>
    <sheet name="result-hit" sheetId="2" r:id="rId2"/>
    <sheet name="Sheet1" sheetId="1" r:id="rId3"/>
  </sheets>
  <definedNames>
    <definedName name="ExternalData_1" localSheetId="1" hidden="1">'result-hit'!$A$1:$R$73</definedName>
    <definedName name="ExternalData_2" localSheetId="0" hidden="1">time_CVE!$A$1:$K$66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2" l="1"/>
  <c r="F11" i="2"/>
  <c r="F3" i="2"/>
  <c r="F2" i="2"/>
  <c r="F4" i="2"/>
  <c r="F5" i="2"/>
  <c r="F6" i="2"/>
  <c r="F7" i="2"/>
  <c r="F8" i="2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J79" i="2"/>
  <c r="M79" i="2"/>
  <c r="P79" i="2"/>
  <c r="S79" i="2"/>
  <c r="S78" i="2"/>
  <c r="P78" i="2"/>
  <c r="M78" i="2"/>
  <c r="J78" i="2"/>
  <c r="G79" i="2"/>
  <c r="G78" i="2"/>
  <c r="G60" i="2"/>
  <c r="G59" i="2"/>
  <c r="G58" i="2"/>
  <c r="G55" i="2"/>
  <c r="G52" i="2"/>
  <c r="G53" i="2"/>
  <c r="G49" i="2"/>
  <c r="G43" i="2"/>
  <c r="G40" i="2"/>
  <c r="G34" i="2"/>
  <c r="G20" i="2"/>
  <c r="G14" i="2"/>
  <c r="G15" i="2"/>
  <c r="G12" i="2"/>
  <c r="G11" i="2"/>
  <c r="G6" i="2"/>
  <c r="G5" i="2"/>
  <c r="G2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G3" i="2"/>
  <c r="G4" i="2"/>
  <c r="G7" i="2"/>
  <c r="G8" i="2"/>
  <c r="G9" i="2"/>
  <c r="G10" i="2"/>
  <c r="G13" i="2"/>
  <c r="G16" i="2"/>
  <c r="G17" i="2"/>
  <c r="G18" i="2"/>
  <c r="G19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5" i="2"/>
  <c r="G36" i="2"/>
  <c r="G37" i="2"/>
  <c r="G38" i="2"/>
  <c r="G39" i="2"/>
  <c r="G41" i="2"/>
  <c r="G42" i="2"/>
  <c r="G44" i="2"/>
  <c r="G45" i="2"/>
  <c r="G46" i="2"/>
  <c r="G47" i="2"/>
  <c r="G48" i="2"/>
  <c r="G50" i="2"/>
  <c r="G51" i="2"/>
  <c r="G54" i="2"/>
  <c r="G56" i="2"/>
  <c r="G57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M77" i="2" l="1"/>
  <c r="J77" i="2"/>
  <c r="S77" i="2"/>
  <c r="G77" i="2"/>
  <c r="P76" i="2"/>
  <c r="S76" i="2"/>
  <c r="M76" i="2"/>
  <c r="J76" i="2"/>
  <c r="P77" i="2"/>
  <c r="G7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32E0B4-F4E0-4761-A30C-800351004902}" keepAlive="1" name="查询 - result-hit" description="与工作簿中“result-hit”查询的连接。" type="5" refreshedVersion="8" background="1" saveData="1">
    <dbPr connection="Provider=Microsoft.Mashup.OleDb.1;Data Source=$Workbook$;Location=result-hit;Extended Properties=&quot;&quot;" command="SELECT * FROM [result-hit]"/>
  </connection>
  <connection id="2" xr16:uid="{76FAB0DE-395D-4A71-80F7-F54A25BC9102}" keepAlive="1" name="查询 - time_CVE" description="与工作簿中“time_CVE”查询的连接。" type="5" refreshedVersion="8" background="1" saveData="1">
    <dbPr connection="Provider=Microsoft.Mashup.OleDb.1;Data Source=$Workbook$;Location=time_CVE;Extended Properties=&quot;&quot;" command="SELECT * FROM [time_CVE]"/>
  </connection>
</connections>
</file>

<file path=xl/sharedStrings.xml><?xml version="1.0" encoding="utf-8"?>
<sst xmlns="http://schemas.openxmlformats.org/spreadsheetml/2006/main" count="440" uniqueCount="188">
  <si>
    <t xml:space="preserve"> CVE号 </t>
  </si>
  <si>
    <t xml:space="preserve"> CVE-2024-57944 </t>
  </si>
  <si>
    <t xml:space="preserve"> CVE-2024-57978 </t>
  </si>
  <si>
    <t xml:space="preserve"> CVE-2024-57990 </t>
  </si>
  <si>
    <t xml:space="preserve"> CVE-2024-57991 </t>
  </si>
  <si>
    <t xml:space="preserve"> CVE-2024-57995 </t>
  </si>
  <si>
    <t xml:space="preserve"> CVE-2024-57996 </t>
  </si>
  <si>
    <t xml:space="preserve"> CVE-2024-57997 </t>
  </si>
  <si>
    <t xml:space="preserve"> CVE-2024-58000 </t>
  </si>
  <si>
    <t xml:space="preserve"> CVE-2024-58007 </t>
  </si>
  <si>
    <t xml:space="preserve"> CVE-2024-58016 </t>
  </si>
  <si>
    <t xml:space="preserve"> CVE-2024-58020 </t>
  </si>
  <si>
    <t xml:space="preserve"> CVE-2024-58021 </t>
  </si>
  <si>
    <t xml:space="preserve"> CVE-2024-58056 </t>
  </si>
  <si>
    <t xml:space="preserve"> CVE-2024-58057 </t>
  </si>
  <si>
    <t xml:space="preserve"> CVE-2024-58058 </t>
  </si>
  <si>
    <t xml:space="preserve"> CVE-2024-58059 </t>
  </si>
  <si>
    <t xml:space="preserve"> CVE-2024-58067 </t>
  </si>
  <si>
    <t xml:space="preserve"> CVE-2024-58070 </t>
  </si>
  <si>
    <t xml:space="preserve"> CVE-2024-58081 </t>
  </si>
  <si>
    <t xml:space="preserve"> CVE-2024-58082 </t>
  </si>
  <si>
    <t xml:space="preserve"> CVE-2024-58086 </t>
  </si>
  <si>
    <t xml:space="preserve"> CVE-2024-58093 </t>
  </si>
  <si>
    <t xml:space="preserve"> CVE-2024-58094 </t>
  </si>
  <si>
    <t xml:space="preserve"> CVE-2024-58095 </t>
  </si>
  <si>
    <t xml:space="preserve"> CVE-2025-38245 </t>
  </si>
  <si>
    <t xml:space="preserve"> CVE-2025-38249 </t>
  </si>
  <si>
    <t xml:space="preserve"> CVE-2025-38251 </t>
  </si>
  <si>
    <t xml:space="preserve"> CVE-2025-38260 </t>
  </si>
  <si>
    <t xml:space="preserve"> CVE-2025-38265 </t>
  </si>
  <si>
    <t xml:space="preserve"> CVE-2025-38271 </t>
  </si>
  <si>
    <t xml:space="preserve"> CVE-2025-38281 </t>
  </si>
  <si>
    <t xml:space="preserve"> CVE-2025-38283 </t>
  </si>
  <si>
    <t xml:space="preserve"> CVE-2025-38289 </t>
  </si>
  <si>
    <t xml:space="preserve"> CVE-2025-38292 </t>
  </si>
  <si>
    <t xml:space="preserve"> CVE-2025-38294 </t>
  </si>
  <si>
    <t xml:space="preserve"> CVE-2025-38297 </t>
  </si>
  <si>
    <t xml:space="preserve"> CVE-2025-38298 </t>
  </si>
  <si>
    <t xml:space="preserve"> CVE-2025-38301 </t>
  </si>
  <si>
    <t xml:space="preserve"> CVE-2025-38304 </t>
  </si>
  <si>
    <t xml:space="preserve"> CVE-2025-38307 </t>
  </si>
  <si>
    <t xml:space="preserve"> CVE-2025-38308 </t>
  </si>
  <si>
    <t xml:space="preserve"> CVE-2025-38312 </t>
  </si>
  <si>
    <t xml:space="preserve"> CVE-2025-38313 </t>
  </si>
  <si>
    <t xml:space="preserve"> CVE-2025-38314 </t>
  </si>
  <si>
    <t xml:space="preserve"> CVE-2025-38318 </t>
  </si>
  <si>
    <t xml:space="preserve"> CVE-2025-38323 </t>
  </si>
  <si>
    <t xml:space="preserve"> CVE-2025-38329 </t>
  </si>
  <si>
    <t xml:space="preserve"> CVE-2025-38337 </t>
  </si>
  <si>
    <t xml:space="preserve"> CVE-2025-38340 </t>
  </si>
  <si>
    <t xml:space="preserve"> CVE-2025-38341 </t>
  </si>
  <si>
    <t xml:space="preserve"> CVE-2025-38342 </t>
  </si>
  <si>
    <t xml:space="preserve"> CVE-2025-38346 </t>
  </si>
  <si>
    <t xml:space="preserve"> CVE-2025-38349 </t>
  </si>
  <si>
    <t xml:space="preserve"> CVE-2025-38350 </t>
  </si>
  <si>
    <t xml:space="preserve"> CVE-2025-38485 </t>
  </si>
  <si>
    <t xml:space="preserve"> CVE-2025-38486 </t>
  </si>
  <si>
    <t xml:space="preserve"> CVE-2025-38487 </t>
  </si>
  <si>
    <t xml:space="preserve"> CVE-2025-38488 </t>
  </si>
  <si>
    <t xml:space="preserve"> CVE-2025-40014 </t>
  </si>
  <si>
    <t xml:space="preserve"> CVE-2025-40150 </t>
  </si>
  <si>
    <t xml:space="preserve"> CVE-2026-23446 </t>
  </si>
  <si>
    <t xml:space="preserve"> CVE-2026-23455 </t>
  </si>
  <si>
    <t xml:space="preserve"> CVE-2026-23462 </t>
  </si>
  <si>
    <t xml:space="preserve"> CVE-2026-23465 </t>
  </si>
  <si>
    <t xml:space="preserve"> CVE-2026-31406 </t>
  </si>
  <si>
    <t xml:space="preserve"> CVE-2026-31428 </t>
  </si>
  <si>
    <t xml:space="preserve"> CVE-2026-31499 </t>
  </si>
  <si>
    <t xml:space="preserve"> CVE-2026-31516 </t>
  </si>
  <si>
    <t xml:space="preserve"> CVE-2026-31549 </t>
  </si>
  <si>
    <t xml:space="preserve"> CVE-2026-31562 </t>
  </si>
  <si>
    <t xml:space="preserve"> CVE-2026-31566 </t>
  </si>
  <si>
    <t xml:space="preserve"> CVE-2026-31567 </t>
  </si>
  <si>
    <t>修复前</t>
    <phoneticPr fontId="1" type="noConversion"/>
  </si>
  <si>
    <t>修复后</t>
    <phoneticPr fontId="1" type="noConversion"/>
  </si>
  <si>
    <t>修复前LVR</t>
    <phoneticPr fontId="1" type="noConversion"/>
  </si>
  <si>
    <t>修复前EER</t>
    <phoneticPr fontId="1" type="noConversion"/>
  </si>
  <si>
    <t>修复前CN</t>
    <phoneticPr fontId="1" type="noConversion"/>
  </si>
  <si>
    <t>修复前ISR</t>
    <phoneticPr fontId="1" type="noConversion"/>
  </si>
  <si>
    <t>修复后LVR</t>
    <phoneticPr fontId="1" type="noConversion"/>
  </si>
  <si>
    <t>修复后EER</t>
    <phoneticPr fontId="1" type="noConversion"/>
  </si>
  <si>
    <t>修复后CN</t>
    <phoneticPr fontId="1" type="noConversion"/>
  </si>
  <si>
    <t>修复后ISR</t>
    <phoneticPr fontId="1" type="noConversion"/>
  </si>
  <si>
    <t>match</t>
    <phoneticPr fontId="1" type="noConversion"/>
  </si>
  <si>
    <t>match2</t>
    <phoneticPr fontId="1" type="noConversion"/>
  </si>
  <si>
    <t>match3</t>
    <phoneticPr fontId="1" type="noConversion"/>
  </si>
  <si>
    <t>match4</t>
    <phoneticPr fontId="1" type="noConversion"/>
  </si>
  <si>
    <t>match5</t>
    <phoneticPr fontId="1" type="noConversion"/>
  </si>
  <si>
    <t>SUM</t>
    <phoneticPr fontId="1" type="noConversion"/>
  </si>
  <si>
    <t>FP</t>
    <phoneticPr fontId="1" type="noConversion"/>
  </si>
  <si>
    <t>accuracy rate</t>
  </si>
  <si>
    <t>TP</t>
    <phoneticPr fontId="1" type="noConversion"/>
  </si>
  <si>
    <t>FN</t>
    <phoneticPr fontId="1" type="noConversion"/>
  </si>
  <si>
    <t>误报，即修复前没查出</t>
    <phoneticPr fontId="1" type="noConversion"/>
  </si>
  <si>
    <t>漏报，即修复后有查出</t>
    <phoneticPr fontId="1" type="noConversion"/>
  </si>
  <si>
    <t>修复前有查出，修复后无查出</t>
    <phoneticPr fontId="1" type="noConversion"/>
  </si>
  <si>
    <t>LVR</t>
    <phoneticPr fontId="1" type="noConversion"/>
  </si>
  <si>
    <t>EER</t>
    <phoneticPr fontId="1" type="noConversion"/>
  </si>
  <si>
    <t>CN</t>
    <phoneticPr fontId="1" type="noConversion"/>
  </si>
  <si>
    <t>ISR</t>
    <phoneticPr fontId="1" type="noConversion"/>
  </si>
  <si>
    <t>重命名函数体内的局部变量或参数</t>
  </si>
  <si>
    <t>等价的表达式写法替换，比如同义表达式改写</t>
    <phoneticPr fontId="1" type="noConversion"/>
  </si>
  <si>
    <t>对条件判断写法做归一化，例如补括号、统一 NULL 比较、单行分支加大括号</t>
    <phoneticPr fontId="1" type="noConversion"/>
  </si>
  <si>
    <t>移动不影响语义的语句位置</t>
    <phoneticPr fontId="1" type="noConversion"/>
  </si>
  <si>
    <t>修复前用时/ms</t>
    <phoneticPr fontId="1" type="noConversion"/>
  </si>
  <si>
    <t>修复后用时/ms</t>
    <phoneticPr fontId="1" type="noConversion"/>
  </si>
  <si>
    <t>平均用时/ms</t>
    <phoneticPr fontId="1" type="noConversion"/>
  </si>
  <si>
    <t>Column1</t>
  </si>
  <si>
    <t xml:space="preserve"> query_file </t>
  </si>
  <si>
    <t xml:space="preserve"> cve </t>
  </si>
  <si>
    <t xml:space="preserve"> hits_before </t>
  </si>
  <si>
    <t xml:space="preserve"> hits_after </t>
  </si>
  <si>
    <t xml:space="preserve"> delta </t>
  </si>
  <si>
    <t xml:space="preserve"> status </t>
  </si>
  <si>
    <t xml:space="preserve"> time_before_ms </t>
  </si>
  <si>
    <t xml:space="preserve"> time_after_ms </t>
  </si>
  <si>
    <t xml:space="preserve"> time_total_ms </t>
  </si>
  <si>
    <t>_1</t>
  </si>
  <si>
    <t/>
  </si>
  <si>
    <t xml:space="preserve"> auto-CVE-2024-57944-1.ql </t>
  </si>
  <si>
    <t xml:space="preserve"> unchanged </t>
  </si>
  <si>
    <t xml:space="preserve"> auto-CVE-2024-57978-1.ql </t>
  </si>
  <si>
    <t xml:space="preserve"> reduced </t>
  </si>
  <si>
    <t xml:space="preserve"> auto-CVE-2024-57990-2.ql </t>
  </si>
  <si>
    <t xml:space="preserve"> auto-CVE-2024-57991-1.ql </t>
  </si>
  <si>
    <t xml:space="preserve"> auto-CVE-2024-57995-1.ql </t>
  </si>
  <si>
    <t xml:space="preserve"> auto-CVE-2024-57996-2.ql </t>
  </si>
  <si>
    <t xml:space="preserve"> auto-CVE-2024-57997-2.ql </t>
  </si>
  <si>
    <t xml:space="preserve"> auto-CVE-2024-58000-2.ql </t>
  </si>
  <si>
    <t xml:space="preserve"> auto-CVE-2024-58007-3.ql </t>
  </si>
  <si>
    <t xml:space="preserve"> auto-CVE-2024-58016-1.ql </t>
  </si>
  <si>
    <t xml:space="preserve"> increased </t>
  </si>
  <si>
    <t xml:space="preserve"> auto-CVE-2024-58020-1.ql </t>
  </si>
  <si>
    <t xml:space="preserve"> auto-CVE-2024-58021-1.ql </t>
  </si>
  <si>
    <t xml:space="preserve"> auto-CVE-2024-58056-2.ql </t>
  </si>
  <si>
    <t xml:space="preserve"> auto-CVE-2024-58057-2.ql </t>
  </si>
  <si>
    <t xml:space="preserve"> auto-CVE-2024-58058-2.ql </t>
  </si>
  <si>
    <t xml:space="preserve"> auto-CVE-2024-58059-1.ql </t>
  </si>
  <si>
    <t xml:space="preserve"> auto-CVE-2024-58067-1.ql </t>
  </si>
  <si>
    <t xml:space="preserve"> auto-CVE-2024-58070-4.ql </t>
  </si>
  <si>
    <t xml:space="preserve"> auto-CVE-2024-58081-1.ql </t>
  </si>
  <si>
    <t xml:space="preserve"> auto-CVE-2024-58082-2.ql </t>
  </si>
  <si>
    <t xml:space="preserve"> auto-CVE-2024-58086-1.ql </t>
  </si>
  <si>
    <t xml:space="preserve"> auto-CVE-2024-58093-1.ql </t>
  </si>
  <si>
    <t xml:space="preserve"> auto-CVE-2024-58094-2.ql </t>
  </si>
  <si>
    <t xml:space="preserve"> auto-CVE-2024-58095-3.ql </t>
  </si>
  <si>
    <t xml:space="preserve"> auto-CVE-2025-38245-2.ql </t>
  </si>
  <si>
    <t xml:space="preserve"> auto-CVE-2025-38249-2.ql </t>
  </si>
  <si>
    <t xml:space="preserve"> auto-CVE-2025-38251-2.ql </t>
  </si>
  <si>
    <t xml:space="preserve"> auto-CVE-2025-38260-4.ql </t>
  </si>
  <si>
    <t xml:space="preserve"> auto-CVE-2025-38265-2.ql </t>
  </si>
  <si>
    <t xml:space="preserve"> auto-CVE-2025-38271-1.ql </t>
  </si>
  <si>
    <t xml:space="preserve"> auto-CVE-2025-38283-4.ql </t>
  </si>
  <si>
    <t xml:space="preserve"> auto-CVE-2025-38289-5.ql </t>
  </si>
  <si>
    <t xml:space="preserve"> auto-CVE-2025-38292-1.ql </t>
  </si>
  <si>
    <t xml:space="preserve"> auto-CVE-2025-38294-1.ql </t>
  </si>
  <si>
    <t xml:space="preserve"> auto-CVE-2025-38297-3.ql </t>
  </si>
  <si>
    <t xml:space="preserve"> auto-CVE-2025-38298-3.ql </t>
  </si>
  <si>
    <t xml:space="preserve"> auto-CVE-2025-38301-1.ql </t>
  </si>
  <si>
    <t xml:space="preserve"> auto-CVE-2025-38304-2.ql </t>
  </si>
  <si>
    <t xml:space="preserve"> auto-CVE-2025-38307-2.ql </t>
  </si>
  <si>
    <t xml:space="preserve"> auto-CVE-2025-38308-1.ql </t>
  </si>
  <si>
    <t xml:space="preserve"> auto-CVE-2025-38312-1.ql </t>
  </si>
  <si>
    <t xml:space="preserve"> auto-CVE-2025-38313-4.ql </t>
  </si>
  <si>
    <t xml:space="preserve"> auto-CVE-2025-38314-2.ql </t>
  </si>
  <si>
    <t xml:space="preserve"> auto-CVE-2025-38318-2.ql </t>
  </si>
  <si>
    <t xml:space="preserve"> auto-CVE-2025-38323-1.ql </t>
  </si>
  <si>
    <t xml:space="preserve"> auto-CVE-2025-38329-1.ql </t>
  </si>
  <si>
    <t xml:space="preserve"> auto-CVE-2025-38337-2.ql </t>
  </si>
  <si>
    <t xml:space="preserve"> auto-CVE-2025-38340-1.ql </t>
  </si>
  <si>
    <t xml:space="preserve"> auto-CVE-2025-38341-1.ql </t>
  </si>
  <si>
    <t xml:space="preserve"> auto-CVE-2025-38342-1.ql </t>
  </si>
  <si>
    <t xml:space="preserve"> auto-CVE-2025-38346-1.ql </t>
  </si>
  <si>
    <t xml:space="preserve"> auto-CVE-2025-38349-2.ql </t>
  </si>
  <si>
    <t xml:space="preserve"> auto-CVE-2025-38350-2.ql </t>
  </si>
  <si>
    <t xml:space="preserve"> auto-CVE-2025-38485-1.ql </t>
  </si>
  <si>
    <t xml:space="preserve"> auto-CVE-2025-38486-2.ql </t>
  </si>
  <si>
    <t xml:space="preserve"> auto-CVE-2025-38487-2.ql </t>
  </si>
  <si>
    <t xml:space="preserve"> auto-CVE-2025-38488-2.ql </t>
  </si>
  <si>
    <t xml:space="preserve"> auto-CVE-2025-40014-3.ql </t>
  </si>
  <si>
    <t xml:space="preserve"> auto-CVE-2025-40150-2.ql </t>
  </si>
  <si>
    <t xml:space="preserve"> auto-CVE-2026-23446-2.ql </t>
  </si>
  <si>
    <t xml:space="preserve"> auto-CVE-2026-23455-1.ql </t>
  </si>
  <si>
    <t xml:space="preserve"> auto-CVE-2026-23462-2.ql </t>
  </si>
  <si>
    <t xml:space="preserve"> auto-CVE-2026-23465-1.ql </t>
  </si>
  <si>
    <t>CVE-2025-38281</t>
    <phoneticPr fontId="1" type="noConversion"/>
  </si>
  <si>
    <t xml:space="preserve"> reduced </t>
    <phoneticPr fontId="1" type="noConversion"/>
  </si>
  <si>
    <t>reduced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</si>
</sst>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_);[Red]\(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82" fontId="0" fillId="0" borderId="0" xfId="0" applyNumberFormat="1">
      <alignment vertical="center"/>
    </xf>
  </cellXfs>
  <cellStyles count="1">
    <cellStyle name="常规" xfId="0" builtinId="0"/>
  </cellStyles>
  <dxfs count="46">
    <dxf>
      <numFmt numFmtId="182" formatCode="0_);[Red]\(0\)"/>
    </dxf>
    <dxf>
      <numFmt numFmtId="182" formatCode="0_);[Red]\(0\)"/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401028B-D0CB-45ED-B555-C8773EBF72B8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 query_file " tableColumnId="2"/>
      <queryTableField id="3" name=" cve " tableColumnId="3"/>
      <queryTableField id="4" name=" hits_before " tableColumnId="4"/>
      <queryTableField id="5" name=" hits_after " tableColumnId="5"/>
      <queryTableField id="6" name=" delta " tableColumnId="6"/>
      <queryTableField id="7" name=" status " tableColumnId="7"/>
      <queryTableField id="8" name=" time_before_ms " tableColumnId="8"/>
      <queryTableField id="9" name=" time_after_ms " tableColumnId="9"/>
      <queryTableField id="10" name=" time_total_ms " tableColumnId="10"/>
      <queryTableField id="11" name="_1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BB0A3D-5E01-4BAD-8CCB-8B868EBAA889}" autoFormatId="16" applyNumberFormats="0" applyBorderFormats="0" applyFontFormats="0" applyPatternFormats="0" applyAlignmentFormats="0" applyWidthHeightFormats="0">
  <queryTableRefresh nextId="33" unboundColumnsRight="1">
    <queryTableFields count="19">
      <queryTableField id="2" name=" CVE号 " tableColumnId="2"/>
      <queryTableField id="3" name=" 原库before " tableColumnId="3"/>
      <queryTableField id="30" dataBound="0" tableColumnId="23"/>
      <queryTableField id="8" name=" 原库after " tableColumnId="8"/>
      <queryTableField id="32" dataBound="0" tableColumnId="25"/>
      <queryTableField id="31" dataBound="0" tableColumnId="24"/>
      <queryTableField id="15" dataBound="0" tableColumnId="1"/>
      <queryTableField id="4" name=" local_var_rename before " tableColumnId="4"/>
      <queryTableField id="9" name=" local_var_rename after " tableColumnId="9"/>
      <queryTableField id="20" dataBound="0" tableColumnId="13"/>
      <queryTableField id="5" name=" equivalent_expr_rewrite before " tableColumnId="5"/>
      <queryTableField id="10" name=" equivalent_expr_rewrite after " tableColumnId="10"/>
      <queryTableField id="22" dataBound="0" tableColumnId="14"/>
      <queryTableField id="6" name=" condition_normalization before " tableColumnId="6"/>
      <queryTableField id="11" name=" condition_normalization after " tableColumnId="11"/>
      <queryTableField id="24" dataBound="0" tableColumnId="15"/>
      <queryTableField id="7" name=" irrelevant_statement_reorder before " tableColumnId="7"/>
      <queryTableField id="12" name=" irrelevant_statement_reorder after " tableColumnId="12"/>
      <queryTableField id="26" dataBound="0" tableColumnId="16"/>
    </queryTableFields>
    <queryTableDeletedFields count="2">
      <deletedField name="Column1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1FC0C3-86B2-4B79-BFB9-E45FDFA524F6}" name="time_CVE" displayName="time_CVE" ref="A1:K66" tableType="queryTable" totalsRowShown="0">
  <autoFilter ref="A1:K66" xr:uid="{911FC0C3-86B2-4B79-BFB9-E45FDFA524F6}"/>
  <tableColumns count="11">
    <tableColumn id="1" xr3:uid="{93C9FFAF-72E2-4162-AD28-C0A35978FCB5}" uniqueName="1" name="Column1" queryTableFieldId="1" dataDxfId="39"/>
    <tableColumn id="2" xr3:uid="{8E14C34C-4AC7-4B5B-AA65-CF9FC0FE4854}" uniqueName="2" name=" query_file " queryTableFieldId="2" dataDxfId="38"/>
    <tableColumn id="3" xr3:uid="{B8FBAF9D-9231-4591-80CF-014F7A0B55F8}" uniqueName="3" name=" cve " queryTableFieldId="3" dataDxfId="37"/>
    <tableColumn id="4" xr3:uid="{D152A913-F3FE-4AE6-8664-FBB7731504C7}" uniqueName="4" name=" hits_before " queryTableFieldId="4"/>
    <tableColumn id="5" xr3:uid="{B1E7E329-8EE8-4006-AE07-175423EDF276}" uniqueName="5" name=" hits_after " queryTableFieldId="5"/>
    <tableColumn id="6" xr3:uid="{19DF3B3B-070F-489C-9A79-90C5E6AAAE37}" uniqueName="6" name=" delta " queryTableFieldId="6"/>
    <tableColumn id="7" xr3:uid="{0A005563-7FE5-4FD9-81A8-201F4A790BF9}" uniqueName="7" name=" status " queryTableFieldId="7" dataDxfId="36"/>
    <tableColumn id="8" xr3:uid="{60031BBF-F601-4896-9046-94DD5996A699}" uniqueName="8" name=" time_before_ms " queryTableFieldId="8"/>
    <tableColumn id="9" xr3:uid="{F1149D41-B6FB-47A4-B760-06A784302CEB}" uniqueName="9" name=" time_after_ms " queryTableFieldId="9"/>
    <tableColumn id="10" xr3:uid="{BB5AD941-FE9C-45DE-BDD7-A8A2AC188854}" uniqueName="10" name=" time_total_ms " queryTableFieldId="10"/>
    <tableColumn id="11" xr3:uid="{D04FBDC7-567D-4070-9F88-E4A1D488CD7B}" uniqueName="11" name="_1" queryTableFieldId="11" dataDxfId="3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CAE1D7-F326-494B-9E1A-5634257F9C7E}" name="result_hit" displayName="result_hit" ref="A1:S74" tableType="queryTable" totalsRowCount="1">
  <autoFilter ref="A1:S73" xr:uid="{D9CAE1D7-F326-494B-9E1A-5634257F9C7E}"/>
  <tableColumns count="19">
    <tableColumn id="2" xr3:uid="{C78E7772-8F26-41DF-8DF2-669DB5812B56}" uniqueName="2" name=" CVE号 " queryTableFieldId="2" dataDxfId="45"/>
    <tableColumn id="3" xr3:uid="{89528389-5C53-4727-B8DE-0835F0CC6177}" uniqueName="3" name="修复前" queryTableFieldId="3"/>
    <tableColumn id="23" xr3:uid="{CAB065F0-9F89-48AB-A144-7CD7B75686E2}" uniqueName="23" name="修复前用时/ms" queryTableFieldId="30"/>
    <tableColumn id="8" xr3:uid="{80CCFB39-4E2B-401A-B69D-326A3C2010C1}" uniqueName="8" name="修复后" queryTableFieldId="8"/>
    <tableColumn id="25" xr3:uid="{2FF6F2E6-44D3-4C3C-AA89-D857B6753EED}" uniqueName="25" name="修复后用时/ms" queryTableFieldId="32"/>
    <tableColumn id="24" xr3:uid="{944B2E42-3047-4BEA-AFCD-96FDD015AA6C}" uniqueName="24" name="平均用时/ms" queryTableFieldId="31" dataDxfId="1" totalsRowDxfId="0">
      <calculatedColumnFormula>AVERAGE(C2,E2)</calculatedColumnFormula>
    </tableColumn>
    <tableColumn id="1" xr3:uid="{2A9D084E-1F32-4E74-B17F-CC0475D9F569}" uniqueName="1" name="match" queryTableFieldId="15" dataDxfId="44">
      <calculatedColumnFormula>B2&gt;D2</calculatedColumnFormula>
    </tableColumn>
    <tableColumn id="4" xr3:uid="{027F3A9C-6DF7-4CA7-B07D-570B038B26F0}" uniqueName="4" name="修复前LVR" queryTableFieldId="4"/>
    <tableColumn id="9" xr3:uid="{FC22E475-F7B1-4D08-8B36-F6219A23EAEF}" uniqueName="9" name="修复后LVR" queryTableFieldId="9"/>
    <tableColumn id="13" xr3:uid="{AD4C3044-82E6-49CE-ABDF-9197A5C631EE}" uniqueName="13" name="match2" queryTableFieldId="20" dataDxfId="43">
      <calculatedColumnFormula>H2&gt;I2</calculatedColumnFormula>
    </tableColumn>
    <tableColumn id="5" xr3:uid="{A19D9125-768D-449F-9A2E-2481CE9B5CFC}" uniqueName="5" name="修复前EER" queryTableFieldId="5"/>
    <tableColumn id="10" xr3:uid="{EDD30638-1F3C-462A-A254-FD59C1953CC1}" uniqueName="10" name="修复后EER" queryTableFieldId="10"/>
    <tableColumn id="14" xr3:uid="{25CA539F-383A-4A0C-AE3A-11BB4221FAF6}" uniqueName="14" name="match3" queryTableFieldId="22" dataDxfId="42">
      <calculatedColumnFormula>K2&gt;L2</calculatedColumnFormula>
    </tableColumn>
    <tableColumn id="6" xr3:uid="{DBA2B1C2-D8AF-4951-A33C-FD347D92DBFC}" uniqueName="6" name="修复前CN" queryTableFieldId="6"/>
    <tableColumn id="11" xr3:uid="{A26FB954-AAB5-4E5C-BDD6-C1D937BBCF65}" uniqueName="11" name="修复后CN" queryTableFieldId="11"/>
    <tableColumn id="15" xr3:uid="{496BB54F-3775-47B8-B95E-D9D5207D44AC}" uniqueName="15" name="match4" queryTableFieldId="24" dataDxfId="41">
      <calculatedColumnFormula>N2&gt;O2</calculatedColumnFormula>
    </tableColumn>
    <tableColumn id="7" xr3:uid="{974C5FD2-671A-4142-9AF3-4BE6D15B09FB}" uniqueName="7" name="修复前ISR" queryTableFieldId="7"/>
    <tableColumn id="12" xr3:uid="{A7D43447-F47A-4CDC-BFBC-F8D6BB67D414}" uniqueName="12" name="修复后ISR" queryTableFieldId="12"/>
    <tableColumn id="16" xr3:uid="{94376D0C-F29D-471E-8E45-665722F55816}" uniqueName="16" name="match5" queryTableFieldId="26" dataDxfId="40">
      <calculatedColumnFormula>Q2&gt;R2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5CA65-EB77-4D36-8289-797B9952D874}">
  <dimension ref="A1:K66"/>
  <sheetViews>
    <sheetView workbookViewId="0">
      <selection activeCell="I65" sqref="I2:I65"/>
    </sheetView>
  </sheetViews>
  <sheetFormatPr defaultRowHeight="14" x14ac:dyDescent="0.3"/>
  <cols>
    <col min="1" max="1" width="10.75" bestFit="1" customWidth="1"/>
    <col min="2" max="2" width="25.58203125" bestFit="1" customWidth="1"/>
    <col min="3" max="3" width="16.6640625" bestFit="1" customWidth="1"/>
    <col min="4" max="4" width="13.58203125" bestFit="1" customWidth="1"/>
    <col min="5" max="5" width="11.9140625" bestFit="1" customWidth="1"/>
    <col min="6" max="6" width="8.4140625" bestFit="1" customWidth="1"/>
    <col min="7" max="7" width="11.08203125" bestFit="1" customWidth="1"/>
    <col min="8" max="8" width="17.75" bestFit="1" customWidth="1"/>
    <col min="9" max="9" width="16" bestFit="1" customWidth="1"/>
    <col min="10" max="10" width="15.9140625" bestFit="1" customWidth="1"/>
    <col min="11" max="11" width="5" bestFit="1" customWidth="1"/>
  </cols>
  <sheetData>
    <row r="1" spans="1:11" x14ac:dyDescent="0.3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</row>
    <row r="2" spans="1:11" x14ac:dyDescent="0.3">
      <c r="A2" s="1" t="s">
        <v>118</v>
      </c>
      <c r="B2" s="1" t="s">
        <v>119</v>
      </c>
      <c r="C2" s="1" t="s">
        <v>1</v>
      </c>
      <c r="D2">
        <v>1</v>
      </c>
      <c r="E2">
        <v>1</v>
      </c>
      <c r="F2">
        <v>0</v>
      </c>
      <c r="G2" s="1" t="s">
        <v>120</v>
      </c>
      <c r="H2">
        <v>4035</v>
      </c>
      <c r="I2">
        <v>4200</v>
      </c>
      <c r="J2">
        <v>8235</v>
      </c>
      <c r="K2" s="1" t="s">
        <v>118</v>
      </c>
    </row>
    <row r="3" spans="1:11" x14ac:dyDescent="0.3">
      <c r="A3" s="1" t="s">
        <v>118</v>
      </c>
      <c r="B3" s="1" t="s">
        <v>121</v>
      </c>
      <c r="C3" s="1" t="s">
        <v>2</v>
      </c>
      <c r="D3">
        <v>1</v>
      </c>
      <c r="E3">
        <v>0</v>
      </c>
      <c r="F3">
        <v>-1</v>
      </c>
      <c r="G3" s="1" t="s">
        <v>122</v>
      </c>
      <c r="H3">
        <v>4215</v>
      </c>
      <c r="I3">
        <v>3865</v>
      </c>
      <c r="J3">
        <v>8080</v>
      </c>
      <c r="K3" s="1" t="s">
        <v>118</v>
      </c>
    </row>
    <row r="4" spans="1:11" x14ac:dyDescent="0.3">
      <c r="A4" s="1" t="s">
        <v>118</v>
      </c>
      <c r="B4" s="1" t="s">
        <v>123</v>
      </c>
      <c r="C4" s="1" t="s">
        <v>3</v>
      </c>
      <c r="D4">
        <v>1</v>
      </c>
      <c r="E4">
        <v>0</v>
      </c>
      <c r="F4">
        <v>-1</v>
      </c>
      <c r="G4" s="1" t="s">
        <v>122</v>
      </c>
      <c r="H4">
        <v>4315</v>
      </c>
      <c r="I4">
        <v>4078</v>
      </c>
      <c r="J4">
        <v>8393</v>
      </c>
      <c r="K4" s="1" t="s">
        <v>118</v>
      </c>
    </row>
    <row r="5" spans="1:11" x14ac:dyDescent="0.3">
      <c r="A5" s="1" t="s">
        <v>118</v>
      </c>
      <c r="B5" s="1" t="s">
        <v>124</v>
      </c>
      <c r="C5" s="1" t="s">
        <v>4</v>
      </c>
      <c r="D5">
        <v>1</v>
      </c>
      <c r="E5">
        <v>1</v>
      </c>
      <c r="F5">
        <v>0</v>
      </c>
      <c r="G5" s="1" t="s">
        <v>120</v>
      </c>
      <c r="H5">
        <v>4381</v>
      </c>
      <c r="I5">
        <v>4498</v>
      </c>
      <c r="J5">
        <v>8879</v>
      </c>
      <c r="K5" s="1" t="s">
        <v>118</v>
      </c>
    </row>
    <row r="6" spans="1:11" x14ac:dyDescent="0.3">
      <c r="A6" s="1" t="s">
        <v>118</v>
      </c>
      <c r="B6" s="1" t="s">
        <v>125</v>
      </c>
      <c r="C6" s="1" t="s">
        <v>5</v>
      </c>
      <c r="D6">
        <v>0</v>
      </c>
      <c r="E6">
        <v>0</v>
      </c>
      <c r="F6">
        <v>0</v>
      </c>
      <c r="G6" s="1" t="s">
        <v>120</v>
      </c>
      <c r="H6">
        <v>4073</v>
      </c>
      <c r="I6">
        <v>4136</v>
      </c>
      <c r="J6">
        <v>8209</v>
      </c>
      <c r="K6" s="1" t="s">
        <v>118</v>
      </c>
    </row>
    <row r="7" spans="1:11" x14ac:dyDescent="0.3">
      <c r="A7" s="1" t="s">
        <v>118</v>
      </c>
      <c r="B7" s="1" t="s">
        <v>126</v>
      </c>
      <c r="C7" s="1" t="s">
        <v>6</v>
      </c>
      <c r="D7">
        <v>6</v>
      </c>
      <c r="E7">
        <v>5</v>
      </c>
      <c r="F7">
        <v>-1</v>
      </c>
      <c r="G7" s="1" t="s">
        <v>122</v>
      </c>
      <c r="H7">
        <v>4783</v>
      </c>
      <c r="I7">
        <v>4566</v>
      </c>
      <c r="J7">
        <v>9349</v>
      </c>
      <c r="K7" s="1" t="s">
        <v>118</v>
      </c>
    </row>
    <row r="8" spans="1:11" x14ac:dyDescent="0.3">
      <c r="A8" s="1" t="s">
        <v>118</v>
      </c>
      <c r="B8" s="1" t="s">
        <v>127</v>
      </c>
      <c r="C8" s="1" t="s">
        <v>7</v>
      </c>
      <c r="D8">
        <v>1</v>
      </c>
      <c r="E8">
        <v>0</v>
      </c>
      <c r="F8">
        <v>-1</v>
      </c>
      <c r="G8" s="1" t="s">
        <v>122</v>
      </c>
      <c r="H8">
        <v>4138</v>
      </c>
      <c r="I8">
        <v>3822</v>
      </c>
      <c r="J8">
        <v>7960</v>
      </c>
      <c r="K8" s="1" t="s">
        <v>118</v>
      </c>
    </row>
    <row r="9" spans="1:11" x14ac:dyDescent="0.3">
      <c r="A9" s="1" t="s">
        <v>118</v>
      </c>
      <c r="B9" s="1" t="s">
        <v>128</v>
      </c>
      <c r="C9" s="1" t="s">
        <v>8</v>
      </c>
      <c r="D9">
        <v>1</v>
      </c>
      <c r="E9">
        <v>0</v>
      </c>
      <c r="F9">
        <v>-1</v>
      </c>
      <c r="G9" s="1" t="s">
        <v>122</v>
      </c>
      <c r="H9">
        <v>5004</v>
      </c>
      <c r="I9">
        <v>4926</v>
      </c>
      <c r="J9">
        <v>9930</v>
      </c>
      <c r="K9" s="1" t="s">
        <v>118</v>
      </c>
    </row>
    <row r="10" spans="1:11" x14ac:dyDescent="0.3">
      <c r="A10" s="1" t="s">
        <v>118</v>
      </c>
      <c r="B10" s="1" t="s">
        <v>129</v>
      </c>
      <c r="C10" s="1" t="s">
        <v>9</v>
      </c>
      <c r="D10">
        <v>1</v>
      </c>
      <c r="E10">
        <v>0</v>
      </c>
      <c r="F10">
        <v>-1</v>
      </c>
      <c r="G10" s="1" t="s">
        <v>122</v>
      </c>
      <c r="H10">
        <v>4154</v>
      </c>
      <c r="I10">
        <v>4075</v>
      </c>
      <c r="J10">
        <v>8229</v>
      </c>
      <c r="K10" s="1" t="s">
        <v>118</v>
      </c>
    </row>
    <row r="11" spans="1:11" x14ac:dyDescent="0.3">
      <c r="A11" s="1" t="s">
        <v>118</v>
      </c>
      <c r="B11" s="1" t="s">
        <v>130</v>
      </c>
      <c r="C11" s="1" t="s">
        <v>10</v>
      </c>
      <c r="D11">
        <v>0</v>
      </c>
      <c r="E11">
        <v>1</v>
      </c>
      <c r="F11">
        <v>1</v>
      </c>
      <c r="G11" s="1" t="s">
        <v>131</v>
      </c>
      <c r="H11">
        <v>3691</v>
      </c>
      <c r="I11">
        <v>4093</v>
      </c>
      <c r="J11">
        <v>7784</v>
      </c>
      <c r="K11" s="1" t="s">
        <v>118</v>
      </c>
    </row>
    <row r="12" spans="1:11" x14ac:dyDescent="0.3">
      <c r="A12" s="1" t="s">
        <v>118</v>
      </c>
      <c r="B12" s="1" t="s">
        <v>132</v>
      </c>
      <c r="C12" s="1" t="s">
        <v>11</v>
      </c>
      <c r="D12">
        <v>1</v>
      </c>
      <c r="E12">
        <v>2</v>
      </c>
      <c r="F12">
        <v>1</v>
      </c>
      <c r="G12" s="1" t="s">
        <v>131</v>
      </c>
      <c r="H12">
        <v>5632</v>
      </c>
      <c r="I12">
        <v>5884</v>
      </c>
      <c r="J12">
        <v>11516</v>
      </c>
      <c r="K12" s="1" t="s">
        <v>118</v>
      </c>
    </row>
    <row r="13" spans="1:11" x14ac:dyDescent="0.3">
      <c r="A13" s="1" t="s">
        <v>118</v>
      </c>
      <c r="B13" s="1" t="s">
        <v>133</v>
      </c>
      <c r="C13" s="1" t="s">
        <v>12</v>
      </c>
      <c r="D13">
        <v>1</v>
      </c>
      <c r="E13">
        <v>0</v>
      </c>
      <c r="F13">
        <v>-1</v>
      </c>
      <c r="G13" s="1" t="s">
        <v>122</v>
      </c>
      <c r="H13">
        <v>5715</v>
      </c>
      <c r="I13">
        <v>5179</v>
      </c>
      <c r="J13">
        <v>10894</v>
      </c>
      <c r="K13" s="1" t="s">
        <v>118</v>
      </c>
    </row>
    <row r="14" spans="1:11" x14ac:dyDescent="0.3">
      <c r="A14" s="1" t="s">
        <v>118</v>
      </c>
      <c r="B14" s="1" t="s">
        <v>134</v>
      </c>
      <c r="C14" s="1" t="s">
        <v>13</v>
      </c>
      <c r="D14">
        <v>0</v>
      </c>
      <c r="E14">
        <v>0</v>
      </c>
      <c r="F14">
        <v>0</v>
      </c>
      <c r="G14" s="1" t="s">
        <v>120</v>
      </c>
      <c r="H14">
        <v>3893</v>
      </c>
      <c r="I14">
        <v>4298</v>
      </c>
      <c r="J14">
        <v>8191</v>
      </c>
      <c r="K14" s="1" t="s">
        <v>118</v>
      </c>
    </row>
    <row r="15" spans="1:11" x14ac:dyDescent="0.3">
      <c r="A15" s="1" t="s">
        <v>118</v>
      </c>
      <c r="B15" s="1" t="s">
        <v>135</v>
      </c>
      <c r="C15" s="1" t="s">
        <v>14</v>
      </c>
      <c r="D15">
        <v>1</v>
      </c>
      <c r="E15">
        <v>1</v>
      </c>
      <c r="F15">
        <v>0</v>
      </c>
      <c r="G15" s="1" t="s">
        <v>120</v>
      </c>
      <c r="H15">
        <v>4439</v>
      </c>
      <c r="I15">
        <v>4446</v>
      </c>
      <c r="J15">
        <v>8885</v>
      </c>
      <c r="K15" s="1" t="s">
        <v>118</v>
      </c>
    </row>
    <row r="16" spans="1:11" x14ac:dyDescent="0.3">
      <c r="A16" s="1" t="s">
        <v>118</v>
      </c>
      <c r="B16" s="1" t="s">
        <v>136</v>
      </c>
      <c r="C16" s="1" t="s">
        <v>15</v>
      </c>
      <c r="D16">
        <v>1</v>
      </c>
      <c r="E16">
        <v>0</v>
      </c>
      <c r="F16">
        <v>-1</v>
      </c>
      <c r="G16" s="1" t="s">
        <v>122</v>
      </c>
      <c r="H16">
        <v>4005</v>
      </c>
      <c r="I16">
        <v>3870</v>
      </c>
      <c r="J16">
        <v>7875</v>
      </c>
      <c r="K16" s="1" t="s">
        <v>118</v>
      </c>
    </row>
    <row r="17" spans="1:11" x14ac:dyDescent="0.3">
      <c r="A17" s="1" t="s">
        <v>118</v>
      </c>
      <c r="B17" s="1" t="s">
        <v>137</v>
      </c>
      <c r="C17" s="1" t="s">
        <v>16</v>
      </c>
      <c r="D17">
        <v>1</v>
      </c>
      <c r="E17">
        <v>0</v>
      </c>
      <c r="F17">
        <v>-1</v>
      </c>
      <c r="G17" s="1" t="s">
        <v>122</v>
      </c>
      <c r="H17">
        <v>5488</v>
      </c>
      <c r="I17">
        <v>5228</v>
      </c>
      <c r="J17">
        <v>10716</v>
      </c>
      <c r="K17" s="1" t="s">
        <v>118</v>
      </c>
    </row>
    <row r="18" spans="1:11" x14ac:dyDescent="0.3">
      <c r="A18" s="1" t="s">
        <v>118</v>
      </c>
      <c r="B18" s="1" t="s">
        <v>138</v>
      </c>
      <c r="C18" s="1" t="s">
        <v>17</v>
      </c>
      <c r="D18">
        <v>1</v>
      </c>
      <c r="E18">
        <v>0</v>
      </c>
      <c r="F18">
        <v>-1</v>
      </c>
      <c r="G18" s="1" t="s">
        <v>122</v>
      </c>
      <c r="H18">
        <v>5277</v>
      </c>
      <c r="I18">
        <v>4852</v>
      </c>
      <c r="J18">
        <v>10129</v>
      </c>
      <c r="K18" s="1" t="s">
        <v>118</v>
      </c>
    </row>
    <row r="19" spans="1:11" x14ac:dyDescent="0.3">
      <c r="A19" s="1" t="s">
        <v>118</v>
      </c>
      <c r="B19" s="1" t="s">
        <v>139</v>
      </c>
      <c r="C19" s="1" t="s">
        <v>18</v>
      </c>
      <c r="D19">
        <v>2</v>
      </c>
      <c r="E19">
        <v>0</v>
      </c>
      <c r="F19">
        <v>-2</v>
      </c>
      <c r="G19" s="1" t="s">
        <v>122</v>
      </c>
      <c r="H19">
        <v>4173</v>
      </c>
      <c r="I19">
        <v>3417</v>
      </c>
      <c r="J19">
        <v>7590</v>
      </c>
      <c r="K19" s="1" t="s">
        <v>118</v>
      </c>
    </row>
    <row r="20" spans="1:11" x14ac:dyDescent="0.3">
      <c r="A20" s="1" t="s">
        <v>118</v>
      </c>
      <c r="B20" s="1" t="s">
        <v>140</v>
      </c>
      <c r="C20" s="1" t="s">
        <v>19</v>
      </c>
      <c r="D20">
        <v>1</v>
      </c>
      <c r="E20">
        <v>1</v>
      </c>
      <c r="F20">
        <v>0</v>
      </c>
      <c r="G20" s="1" t="s">
        <v>120</v>
      </c>
      <c r="H20">
        <v>4015</v>
      </c>
      <c r="I20">
        <v>4187</v>
      </c>
      <c r="J20">
        <v>8202</v>
      </c>
      <c r="K20" s="1" t="s">
        <v>118</v>
      </c>
    </row>
    <row r="21" spans="1:11" x14ac:dyDescent="0.3">
      <c r="A21" s="1" t="s">
        <v>118</v>
      </c>
      <c r="B21" s="1" t="s">
        <v>141</v>
      </c>
      <c r="C21" s="1" t="s">
        <v>20</v>
      </c>
      <c r="D21">
        <v>1</v>
      </c>
      <c r="E21">
        <v>0</v>
      </c>
      <c r="F21">
        <v>-1</v>
      </c>
      <c r="G21" s="1" t="s">
        <v>122</v>
      </c>
      <c r="H21">
        <v>4260</v>
      </c>
      <c r="I21">
        <v>3894</v>
      </c>
      <c r="J21">
        <v>8154</v>
      </c>
      <c r="K21" s="1" t="s">
        <v>118</v>
      </c>
    </row>
    <row r="22" spans="1:11" x14ac:dyDescent="0.3">
      <c r="A22" s="1" t="s">
        <v>118</v>
      </c>
      <c r="B22" s="1" t="s">
        <v>142</v>
      </c>
      <c r="C22" s="1" t="s">
        <v>21</v>
      </c>
      <c r="D22">
        <v>1</v>
      </c>
      <c r="E22">
        <v>0</v>
      </c>
      <c r="F22">
        <v>-1</v>
      </c>
      <c r="G22" s="1" t="s">
        <v>122</v>
      </c>
      <c r="H22">
        <v>5100</v>
      </c>
      <c r="I22">
        <v>4877</v>
      </c>
      <c r="J22">
        <v>9977</v>
      </c>
      <c r="K22" s="1" t="s">
        <v>118</v>
      </c>
    </row>
    <row r="23" spans="1:11" x14ac:dyDescent="0.3">
      <c r="A23" s="1" t="s">
        <v>118</v>
      </c>
      <c r="B23" s="1" t="s">
        <v>143</v>
      </c>
      <c r="C23" s="1" t="s">
        <v>22</v>
      </c>
      <c r="D23">
        <v>1</v>
      </c>
      <c r="E23">
        <v>0</v>
      </c>
      <c r="F23">
        <v>-1</v>
      </c>
      <c r="G23" s="1" t="s">
        <v>122</v>
      </c>
      <c r="H23">
        <v>4944</v>
      </c>
      <c r="I23">
        <v>5043</v>
      </c>
      <c r="J23">
        <v>9987</v>
      </c>
      <c r="K23" s="1" t="s">
        <v>118</v>
      </c>
    </row>
    <row r="24" spans="1:11" x14ac:dyDescent="0.3">
      <c r="A24" s="1" t="s">
        <v>118</v>
      </c>
      <c r="B24" s="1" t="s">
        <v>144</v>
      </c>
      <c r="C24" s="1" t="s">
        <v>23</v>
      </c>
      <c r="D24">
        <v>1</v>
      </c>
      <c r="E24">
        <v>0</v>
      </c>
      <c r="F24">
        <v>-1</v>
      </c>
      <c r="G24" s="1" t="s">
        <v>122</v>
      </c>
      <c r="H24">
        <v>4121</v>
      </c>
      <c r="I24">
        <v>3900</v>
      </c>
      <c r="J24">
        <v>8021</v>
      </c>
      <c r="K24" s="1" t="s">
        <v>118</v>
      </c>
    </row>
    <row r="25" spans="1:11" x14ac:dyDescent="0.3">
      <c r="A25" s="1" t="s">
        <v>118</v>
      </c>
      <c r="B25" s="1" t="s">
        <v>145</v>
      </c>
      <c r="C25" s="1" t="s">
        <v>24</v>
      </c>
      <c r="D25">
        <v>1</v>
      </c>
      <c r="E25">
        <v>0</v>
      </c>
      <c r="F25">
        <v>-1</v>
      </c>
      <c r="G25" s="1" t="s">
        <v>122</v>
      </c>
      <c r="H25">
        <v>3916</v>
      </c>
      <c r="I25">
        <v>3673</v>
      </c>
      <c r="J25">
        <v>7589</v>
      </c>
      <c r="K25" s="1" t="s">
        <v>118</v>
      </c>
    </row>
    <row r="26" spans="1:11" x14ac:dyDescent="0.3">
      <c r="A26" s="1" t="s">
        <v>118</v>
      </c>
      <c r="B26" s="1" t="s">
        <v>146</v>
      </c>
      <c r="C26" s="1" t="s">
        <v>25</v>
      </c>
      <c r="D26">
        <v>1</v>
      </c>
      <c r="E26">
        <v>0</v>
      </c>
      <c r="F26">
        <v>-1</v>
      </c>
      <c r="G26" s="1" t="s">
        <v>122</v>
      </c>
      <c r="H26">
        <v>4177</v>
      </c>
      <c r="I26">
        <v>3877</v>
      </c>
      <c r="J26">
        <v>8054</v>
      </c>
      <c r="K26" s="1" t="s">
        <v>118</v>
      </c>
    </row>
    <row r="27" spans="1:11" x14ac:dyDescent="0.3">
      <c r="A27" s="1" t="s">
        <v>118</v>
      </c>
      <c r="B27" s="1" t="s">
        <v>147</v>
      </c>
      <c r="C27" s="1" t="s">
        <v>26</v>
      </c>
      <c r="D27">
        <v>1</v>
      </c>
      <c r="E27">
        <v>0</v>
      </c>
      <c r="F27">
        <v>-1</v>
      </c>
      <c r="G27" s="1" t="s">
        <v>122</v>
      </c>
      <c r="H27">
        <v>4155</v>
      </c>
      <c r="I27">
        <v>4026</v>
      </c>
      <c r="J27">
        <v>8181</v>
      </c>
      <c r="K27" s="1" t="s">
        <v>118</v>
      </c>
    </row>
    <row r="28" spans="1:11" x14ac:dyDescent="0.3">
      <c r="A28" s="1" t="s">
        <v>118</v>
      </c>
      <c r="B28" s="1" t="s">
        <v>148</v>
      </c>
      <c r="C28" s="1" t="s">
        <v>27</v>
      </c>
      <c r="D28">
        <v>2</v>
      </c>
      <c r="E28">
        <v>1</v>
      </c>
      <c r="F28">
        <v>-1</v>
      </c>
      <c r="G28" s="1" t="s">
        <v>122</v>
      </c>
      <c r="H28">
        <v>3999</v>
      </c>
      <c r="I28">
        <v>4069</v>
      </c>
      <c r="J28">
        <v>8068</v>
      </c>
      <c r="K28" s="1" t="s">
        <v>118</v>
      </c>
    </row>
    <row r="29" spans="1:11" x14ac:dyDescent="0.3">
      <c r="A29" s="1" t="s">
        <v>118</v>
      </c>
      <c r="B29" s="1" t="s">
        <v>149</v>
      </c>
      <c r="C29" s="1" t="s">
        <v>28</v>
      </c>
      <c r="D29">
        <v>2</v>
      </c>
      <c r="E29">
        <v>1</v>
      </c>
      <c r="F29">
        <v>-1</v>
      </c>
      <c r="G29" s="1" t="s">
        <v>122</v>
      </c>
      <c r="H29">
        <v>4350</v>
      </c>
      <c r="I29">
        <v>4208</v>
      </c>
      <c r="J29">
        <v>8558</v>
      </c>
      <c r="K29" s="1" t="s">
        <v>118</v>
      </c>
    </row>
    <row r="30" spans="1:11" x14ac:dyDescent="0.3">
      <c r="A30" s="1" t="s">
        <v>118</v>
      </c>
      <c r="B30" s="1" t="s">
        <v>150</v>
      </c>
      <c r="C30" s="1" t="s">
        <v>29</v>
      </c>
      <c r="D30">
        <v>1</v>
      </c>
      <c r="E30">
        <v>0</v>
      </c>
      <c r="F30">
        <v>-1</v>
      </c>
      <c r="G30" s="1" t="s">
        <v>122</v>
      </c>
      <c r="H30">
        <v>4696</v>
      </c>
      <c r="I30">
        <v>4397</v>
      </c>
      <c r="J30">
        <v>9093</v>
      </c>
      <c r="K30" s="1" t="s">
        <v>118</v>
      </c>
    </row>
    <row r="31" spans="1:11" x14ac:dyDescent="0.3">
      <c r="A31" s="1" t="s">
        <v>118</v>
      </c>
      <c r="B31" s="1" t="s">
        <v>151</v>
      </c>
      <c r="C31" s="1" t="s">
        <v>30</v>
      </c>
      <c r="D31">
        <v>1</v>
      </c>
      <c r="E31">
        <v>0</v>
      </c>
      <c r="F31">
        <v>-1</v>
      </c>
      <c r="G31" s="1" t="s">
        <v>186</v>
      </c>
      <c r="H31">
        <v>4562</v>
      </c>
      <c r="I31">
        <v>4496</v>
      </c>
      <c r="J31">
        <v>9058</v>
      </c>
      <c r="K31" s="1" t="s">
        <v>118</v>
      </c>
    </row>
    <row r="32" spans="1:11" x14ac:dyDescent="0.3">
      <c r="A32" s="1"/>
      <c r="B32" s="1"/>
      <c r="C32" s="1" t="s">
        <v>185</v>
      </c>
      <c r="D32">
        <v>1</v>
      </c>
      <c r="E32">
        <v>0</v>
      </c>
      <c r="F32">
        <v>-1</v>
      </c>
      <c r="G32" s="1" t="s">
        <v>187</v>
      </c>
      <c r="H32">
        <v>5429</v>
      </c>
      <c r="I32">
        <v>5532</v>
      </c>
      <c r="J32">
        <v>10961</v>
      </c>
      <c r="K32" s="1"/>
    </row>
    <row r="33" spans="1:11" x14ac:dyDescent="0.3">
      <c r="A33" s="1" t="s">
        <v>118</v>
      </c>
      <c r="B33" s="1" t="s">
        <v>152</v>
      </c>
      <c r="C33" s="1" t="s">
        <v>32</v>
      </c>
      <c r="D33">
        <v>1</v>
      </c>
      <c r="E33">
        <v>0</v>
      </c>
      <c r="F33">
        <v>-1</v>
      </c>
      <c r="G33" s="1" t="s">
        <v>122</v>
      </c>
      <c r="H33">
        <v>3863</v>
      </c>
      <c r="I33">
        <v>3863</v>
      </c>
      <c r="J33">
        <v>7726</v>
      </c>
      <c r="K33" s="1" t="s">
        <v>118</v>
      </c>
    </row>
    <row r="34" spans="1:11" x14ac:dyDescent="0.3">
      <c r="A34" s="1" t="s">
        <v>118</v>
      </c>
      <c r="B34" s="1" t="s">
        <v>153</v>
      </c>
      <c r="C34" s="1" t="s">
        <v>33</v>
      </c>
      <c r="D34">
        <v>0</v>
      </c>
      <c r="E34">
        <v>0</v>
      </c>
      <c r="F34">
        <v>0</v>
      </c>
      <c r="G34" s="1" t="s">
        <v>120</v>
      </c>
      <c r="H34">
        <v>3719</v>
      </c>
      <c r="I34">
        <v>3701</v>
      </c>
      <c r="J34">
        <v>7420</v>
      </c>
      <c r="K34" s="1" t="s">
        <v>118</v>
      </c>
    </row>
    <row r="35" spans="1:11" x14ac:dyDescent="0.3">
      <c r="A35" s="1" t="s">
        <v>118</v>
      </c>
      <c r="B35" s="1" t="s">
        <v>154</v>
      </c>
      <c r="C35" s="1" t="s">
        <v>34</v>
      </c>
      <c r="D35">
        <v>2</v>
      </c>
      <c r="E35">
        <v>1</v>
      </c>
      <c r="F35">
        <v>-1</v>
      </c>
      <c r="G35" s="1" t="s">
        <v>122</v>
      </c>
      <c r="H35">
        <v>5121</v>
      </c>
      <c r="I35">
        <v>5326</v>
      </c>
      <c r="J35">
        <v>10447</v>
      </c>
      <c r="K35" s="1" t="s">
        <v>118</v>
      </c>
    </row>
    <row r="36" spans="1:11" x14ac:dyDescent="0.3">
      <c r="A36" s="1" t="s">
        <v>118</v>
      </c>
      <c r="B36" s="1" t="s">
        <v>155</v>
      </c>
      <c r="C36" s="1" t="s">
        <v>35</v>
      </c>
      <c r="D36">
        <v>1</v>
      </c>
      <c r="E36">
        <v>0</v>
      </c>
      <c r="F36">
        <v>-1</v>
      </c>
      <c r="G36" s="1" t="s">
        <v>122</v>
      </c>
      <c r="H36">
        <v>5324</v>
      </c>
      <c r="I36">
        <v>5528</v>
      </c>
      <c r="J36">
        <v>10852</v>
      </c>
      <c r="K36" s="1" t="s">
        <v>118</v>
      </c>
    </row>
    <row r="37" spans="1:11" x14ac:dyDescent="0.3">
      <c r="A37" s="1" t="s">
        <v>118</v>
      </c>
      <c r="B37" s="1" t="s">
        <v>156</v>
      </c>
      <c r="C37" s="1" t="s">
        <v>36</v>
      </c>
      <c r="D37">
        <v>1</v>
      </c>
      <c r="E37">
        <v>0</v>
      </c>
      <c r="F37">
        <v>-1</v>
      </c>
      <c r="G37" s="1" t="s">
        <v>122</v>
      </c>
      <c r="H37">
        <v>4160</v>
      </c>
      <c r="I37">
        <v>3879</v>
      </c>
      <c r="J37">
        <v>8039</v>
      </c>
      <c r="K37" s="1" t="s">
        <v>118</v>
      </c>
    </row>
    <row r="38" spans="1:11" x14ac:dyDescent="0.3">
      <c r="A38" s="1" t="s">
        <v>118</v>
      </c>
      <c r="B38" s="1" t="s">
        <v>157</v>
      </c>
      <c r="C38" s="1" t="s">
        <v>37</v>
      </c>
      <c r="D38">
        <v>1</v>
      </c>
      <c r="E38">
        <v>0</v>
      </c>
      <c r="F38">
        <v>-1</v>
      </c>
      <c r="G38" s="1" t="s">
        <v>122</v>
      </c>
      <c r="H38">
        <v>4117</v>
      </c>
      <c r="I38">
        <v>4105</v>
      </c>
      <c r="J38">
        <v>8222</v>
      </c>
      <c r="K38" s="1" t="s">
        <v>118</v>
      </c>
    </row>
    <row r="39" spans="1:11" x14ac:dyDescent="0.3">
      <c r="A39" s="1" t="s">
        <v>118</v>
      </c>
      <c r="B39" s="1" t="s">
        <v>158</v>
      </c>
      <c r="C39" s="1" t="s">
        <v>38</v>
      </c>
      <c r="D39">
        <v>1</v>
      </c>
      <c r="E39">
        <v>0</v>
      </c>
      <c r="F39">
        <v>-1</v>
      </c>
      <c r="G39" s="1" t="s">
        <v>122</v>
      </c>
      <c r="H39">
        <v>6455</v>
      </c>
      <c r="I39">
        <v>6215</v>
      </c>
      <c r="J39">
        <v>12670</v>
      </c>
      <c r="K39" s="1" t="s">
        <v>118</v>
      </c>
    </row>
    <row r="40" spans="1:11" x14ac:dyDescent="0.3">
      <c r="A40" s="1" t="s">
        <v>118</v>
      </c>
      <c r="B40" s="1" t="s">
        <v>159</v>
      </c>
      <c r="C40" s="1" t="s">
        <v>39</v>
      </c>
      <c r="D40">
        <v>0</v>
      </c>
      <c r="E40">
        <v>0</v>
      </c>
      <c r="F40">
        <v>0</v>
      </c>
      <c r="G40" s="1" t="s">
        <v>120</v>
      </c>
      <c r="H40">
        <v>4530</v>
      </c>
      <c r="I40">
        <v>3835</v>
      </c>
      <c r="J40">
        <v>8365</v>
      </c>
      <c r="K40" s="1" t="s">
        <v>118</v>
      </c>
    </row>
    <row r="41" spans="1:11" x14ac:dyDescent="0.3">
      <c r="A41" s="1" t="s">
        <v>118</v>
      </c>
      <c r="B41" s="1" t="s">
        <v>160</v>
      </c>
      <c r="C41" s="1" t="s">
        <v>40</v>
      </c>
      <c r="D41">
        <v>1</v>
      </c>
      <c r="E41">
        <v>0</v>
      </c>
      <c r="F41">
        <v>-1</v>
      </c>
      <c r="G41" s="1" t="s">
        <v>122</v>
      </c>
      <c r="H41">
        <v>5010</v>
      </c>
      <c r="I41">
        <v>4598</v>
      </c>
      <c r="J41">
        <v>9608</v>
      </c>
      <c r="K41" s="1" t="s">
        <v>118</v>
      </c>
    </row>
    <row r="42" spans="1:11" x14ac:dyDescent="0.3">
      <c r="A42" s="1" t="s">
        <v>118</v>
      </c>
      <c r="B42" s="1" t="s">
        <v>161</v>
      </c>
      <c r="C42" s="1" t="s">
        <v>41</v>
      </c>
      <c r="D42">
        <v>1</v>
      </c>
      <c r="E42">
        <v>0</v>
      </c>
      <c r="F42">
        <v>-1</v>
      </c>
      <c r="G42" s="1" t="s">
        <v>122</v>
      </c>
      <c r="H42">
        <v>5450</v>
      </c>
      <c r="I42">
        <v>5196</v>
      </c>
      <c r="J42">
        <v>10646</v>
      </c>
      <c r="K42" s="1" t="s">
        <v>118</v>
      </c>
    </row>
    <row r="43" spans="1:11" x14ac:dyDescent="0.3">
      <c r="A43" s="1" t="s">
        <v>118</v>
      </c>
      <c r="B43" s="1" t="s">
        <v>162</v>
      </c>
      <c r="C43" s="1" t="s">
        <v>42</v>
      </c>
      <c r="D43">
        <v>1</v>
      </c>
      <c r="E43">
        <v>1</v>
      </c>
      <c r="F43">
        <v>0</v>
      </c>
      <c r="G43" s="1" t="s">
        <v>120</v>
      </c>
      <c r="H43">
        <v>4944</v>
      </c>
      <c r="I43">
        <v>5145</v>
      </c>
      <c r="J43">
        <v>10089</v>
      </c>
      <c r="K43" s="1" t="s">
        <v>118</v>
      </c>
    </row>
    <row r="44" spans="1:11" x14ac:dyDescent="0.3">
      <c r="A44" s="1" t="s">
        <v>118</v>
      </c>
      <c r="B44" s="1" t="s">
        <v>163</v>
      </c>
      <c r="C44" s="1" t="s">
        <v>43</v>
      </c>
      <c r="D44">
        <v>1</v>
      </c>
      <c r="E44">
        <v>0</v>
      </c>
      <c r="F44">
        <v>-1</v>
      </c>
      <c r="G44" s="1" t="s">
        <v>122</v>
      </c>
      <c r="H44">
        <v>4735</v>
      </c>
      <c r="I44">
        <v>4372</v>
      </c>
      <c r="J44">
        <v>9107</v>
      </c>
      <c r="K44" s="1" t="s">
        <v>118</v>
      </c>
    </row>
    <row r="45" spans="1:11" x14ac:dyDescent="0.3">
      <c r="A45" s="1" t="s">
        <v>118</v>
      </c>
      <c r="B45" s="1" t="s">
        <v>164</v>
      </c>
      <c r="C45" s="1" t="s">
        <v>44</v>
      </c>
      <c r="D45">
        <v>1</v>
      </c>
      <c r="E45">
        <v>0</v>
      </c>
      <c r="F45">
        <v>-1</v>
      </c>
      <c r="G45" s="1" t="s">
        <v>122</v>
      </c>
      <c r="H45">
        <v>4258</v>
      </c>
      <c r="I45">
        <v>4092</v>
      </c>
      <c r="J45">
        <v>8350</v>
      </c>
      <c r="K45" s="1" t="s">
        <v>118</v>
      </c>
    </row>
    <row r="46" spans="1:11" x14ac:dyDescent="0.3">
      <c r="A46" s="1" t="s">
        <v>118</v>
      </c>
      <c r="B46" s="1" t="s">
        <v>165</v>
      </c>
      <c r="C46" s="1" t="s">
        <v>45</v>
      </c>
      <c r="D46">
        <v>1</v>
      </c>
      <c r="E46">
        <v>0</v>
      </c>
      <c r="F46">
        <v>-1</v>
      </c>
      <c r="G46" s="1" t="s">
        <v>122</v>
      </c>
      <c r="H46">
        <v>4884</v>
      </c>
      <c r="I46">
        <v>4346</v>
      </c>
      <c r="J46">
        <v>9230</v>
      </c>
      <c r="K46" s="1" t="s">
        <v>118</v>
      </c>
    </row>
    <row r="47" spans="1:11" x14ac:dyDescent="0.3">
      <c r="A47" s="1" t="s">
        <v>118</v>
      </c>
      <c r="B47" s="1" t="s">
        <v>166</v>
      </c>
      <c r="C47" s="1" t="s">
        <v>46</v>
      </c>
      <c r="D47">
        <v>1</v>
      </c>
      <c r="E47">
        <v>0</v>
      </c>
      <c r="F47">
        <v>-1</v>
      </c>
      <c r="G47" s="1" t="s">
        <v>122</v>
      </c>
      <c r="H47">
        <v>5500</v>
      </c>
      <c r="I47">
        <v>5033</v>
      </c>
      <c r="J47">
        <v>10533</v>
      </c>
      <c r="K47" s="1" t="s">
        <v>118</v>
      </c>
    </row>
    <row r="48" spans="1:11" x14ac:dyDescent="0.3">
      <c r="A48" s="1" t="s">
        <v>118</v>
      </c>
      <c r="B48" s="1" t="s">
        <v>167</v>
      </c>
      <c r="C48" s="1" t="s">
        <v>47</v>
      </c>
      <c r="D48">
        <v>1</v>
      </c>
      <c r="E48">
        <v>0</v>
      </c>
      <c r="F48">
        <v>-1</v>
      </c>
      <c r="G48" s="1" t="s">
        <v>122</v>
      </c>
      <c r="H48">
        <v>4637</v>
      </c>
      <c r="I48">
        <v>5001</v>
      </c>
      <c r="J48">
        <v>9638</v>
      </c>
      <c r="K48" s="1" t="s">
        <v>118</v>
      </c>
    </row>
    <row r="49" spans="1:11" x14ac:dyDescent="0.3">
      <c r="A49" s="1" t="s">
        <v>118</v>
      </c>
      <c r="B49" s="1" t="s">
        <v>168</v>
      </c>
      <c r="C49" s="1" t="s">
        <v>48</v>
      </c>
      <c r="D49">
        <v>0</v>
      </c>
      <c r="E49">
        <v>0</v>
      </c>
      <c r="F49">
        <v>0</v>
      </c>
      <c r="G49" s="1" t="s">
        <v>120</v>
      </c>
      <c r="H49">
        <v>3785</v>
      </c>
      <c r="I49">
        <v>3981</v>
      </c>
      <c r="J49">
        <v>7766</v>
      </c>
      <c r="K49" s="1" t="s">
        <v>118</v>
      </c>
    </row>
    <row r="50" spans="1:11" x14ac:dyDescent="0.3">
      <c r="A50" s="1" t="s">
        <v>118</v>
      </c>
      <c r="B50" s="1" t="s">
        <v>169</v>
      </c>
      <c r="C50" s="1" t="s">
        <v>49</v>
      </c>
      <c r="D50">
        <v>1</v>
      </c>
      <c r="E50">
        <v>0</v>
      </c>
      <c r="F50">
        <v>-1</v>
      </c>
      <c r="G50" s="1" t="s">
        <v>122</v>
      </c>
      <c r="H50">
        <v>5374</v>
      </c>
      <c r="I50">
        <v>5721</v>
      </c>
      <c r="J50">
        <v>11095</v>
      </c>
      <c r="K50" s="1" t="s">
        <v>118</v>
      </c>
    </row>
    <row r="51" spans="1:11" x14ac:dyDescent="0.3">
      <c r="A51" s="1" t="s">
        <v>118</v>
      </c>
      <c r="B51" s="1" t="s">
        <v>170</v>
      </c>
      <c r="C51" s="1" t="s">
        <v>50</v>
      </c>
      <c r="D51">
        <v>1</v>
      </c>
      <c r="E51">
        <v>0</v>
      </c>
      <c r="F51">
        <v>-1</v>
      </c>
      <c r="G51" s="1" t="s">
        <v>122</v>
      </c>
      <c r="H51">
        <v>5766</v>
      </c>
      <c r="I51">
        <v>4909</v>
      </c>
      <c r="J51">
        <v>10675</v>
      </c>
      <c r="K51" s="1" t="s">
        <v>118</v>
      </c>
    </row>
    <row r="52" spans="1:11" x14ac:dyDescent="0.3">
      <c r="A52" s="1" t="s">
        <v>118</v>
      </c>
      <c r="B52" s="1" t="s">
        <v>171</v>
      </c>
      <c r="C52" s="1" t="s">
        <v>51</v>
      </c>
      <c r="D52">
        <v>1</v>
      </c>
      <c r="E52">
        <v>1</v>
      </c>
      <c r="F52">
        <v>0</v>
      </c>
      <c r="G52" s="1" t="s">
        <v>120</v>
      </c>
      <c r="H52">
        <v>5299</v>
      </c>
      <c r="I52">
        <v>5397</v>
      </c>
      <c r="J52">
        <v>10696</v>
      </c>
      <c r="K52" s="1" t="s">
        <v>118</v>
      </c>
    </row>
    <row r="53" spans="1:11" x14ac:dyDescent="0.3">
      <c r="A53" s="1" t="s">
        <v>118</v>
      </c>
      <c r="B53" s="1" t="s">
        <v>172</v>
      </c>
      <c r="C53" s="1" t="s">
        <v>52</v>
      </c>
      <c r="D53">
        <v>1</v>
      </c>
      <c r="E53">
        <v>1</v>
      </c>
      <c r="F53">
        <v>0</v>
      </c>
      <c r="G53" s="1" t="s">
        <v>120</v>
      </c>
      <c r="H53">
        <v>4154</v>
      </c>
      <c r="I53">
        <v>4490</v>
      </c>
      <c r="J53">
        <v>8644</v>
      </c>
      <c r="K53" s="1" t="s">
        <v>118</v>
      </c>
    </row>
    <row r="54" spans="1:11" x14ac:dyDescent="0.3">
      <c r="A54" s="1" t="s">
        <v>118</v>
      </c>
      <c r="B54" s="1" t="s">
        <v>173</v>
      </c>
      <c r="C54" s="1" t="s">
        <v>53</v>
      </c>
      <c r="D54">
        <v>1</v>
      </c>
      <c r="E54">
        <v>0</v>
      </c>
      <c r="F54">
        <v>-1</v>
      </c>
      <c r="G54" s="1" t="s">
        <v>122</v>
      </c>
      <c r="H54">
        <v>3975</v>
      </c>
      <c r="I54">
        <v>3989</v>
      </c>
      <c r="J54">
        <v>7964</v>
      </c>
      <c r="K54" s="1" t="s">
        <v>118</v>
      </c>
    </row>
    <row r="55" spans="1:11" x14ac:dyDescent="0.3">
      <c r="A55" s="1" t="s">
        <v>118</v>
      </c>
      <c r="B55" s="1" t="s">
        <v>174</v>
      </c>
      <c r="C55" s="1" t="s">
        <v>54</v>
      </c>
      <c r="D55">
        <v>0</v>
      </c>
      <c r="E55">
        <v>0</v>
      </c>
      <c r="F55">
        <v>0</v>
      </c>
      <c r="G55" s="1" t="s">
        <v>120</v>
      </c>
      <c r="H55">
        <v>4202</v>
      </c>
      <c r="I55">
        <v>4021</v>
      </c>
      <c r="J55">
        <v>8223</v>
      </c>
      <c r="K55" s="1" t="s">
        <v>118</v>
      </c>
    </row>
    <row r="56" spans="1:11" x14ac:dyDescent="0.3">
      <c r="A56" s="1" t="s">
        <v>118</v>
      </c>
      <c r="B56" s="1" t="s">
        <v>175</v>
      </c>
      <c r="C56" s="1" t="s">
        <v>55</v>
      </c>
      <c r="D56">
        <v>1</v>
      </c>
      <c r="E56">
        <v>0</v>
      </c>
      <c r="F56">
        <v>-1</v>
      </c>
      <c r="G56" s="1" t="s">
        <v>122</v>
      </c>
      <c r="H56">
        <v>5025</v>
      </c>
      <c r="I56">
        <v>4955</v>
      </c>
      <c r="J56">
        <v>9980</v>
      </c>
      <c r="K56" s="1" t="s">
        <v>118</v>
      </c>
    </row>
    <row r="57" spans="1:11" x14ac:dyDescent="0.3">
      <c r="A57" s="1" t="s">
        <v>118</v>
      </c>
      <c r="B57" s="1" t="s">
        <v>176</v>
      </c>
      <c r="C57" s="1" t="s">
        <v>56</v>
      </c>
      <c r="D57">
        <v>2</v>
      </c>
      <c r="E57">
        <v>0</v>
      </c>
      <c r="F57">
        <v>-2</v>
      </c>
      <c r="G57" s="1" t="s">
        <v>122</v>
      </c>
      <c r="H57">
        <v>14085</v>
      </c>
      <c r="I57">
        <v>3956</v>
      </c>
      <c r="J57">
        <v>18041</v>
      </c>
      <c r="K57" s="1" t="s">
        <v>118</v>
      </c>
    </row>
    <row r="58" spans="1:11" x14ac:dyDescent="0.3">
      <c r="A58" s="1" t="s">
        <v>118</v>
      </c>
      <c r="B58" s="1" t="s">
        <v>177</v>
      </c>
      <c r="C58" s="1" t="s">
        <v>57</v>
      </c>
      <c r="D58">
        <v>0</v>
      </c>
      <c r="E58">
        <v>0</v>
      </c>
      <c r="F58">
        <v>0</v>
      </c>
      <c r="G58" s="1" t="s">
        <v>120</v>
      </c>
      <c r="H58">
        <v>4106</v>
      </c>
      <c r="I58">
        <v>4767</v>
      </c>
      <c r="J58">
        <v>8873</v>
      </c>
      <c r="K58" s="1" t="s">
        <v>118</v>
      </c>
    </row>
    <row r="59" spans="1:11" x14ac:dyDescent="0.3">
      <c r="A59" s="1" t="s">
        <v>118</v>
      </c>
      <c r="B59" s="1" t="s">
        <v>178</v>
      </c>
      <c r="C59" s="1" t="s">
        <v>58</v>
      </c>
      <c r="D59">
        <v>0</v>
      </c>
      <c r="E59">
        <v>0</v>
      </c>
      <c r="F59">
        <v>0</v>
      </c>
      <c r="G59" s="1" t="s">
        <v>120</v>
      </c>
      <c r="H59">
        <v>4528</v>
      </c>
      <c r="I59">
        <v>4056</v>
      </c>
      <c r="J59">
        <v>8584</v>
      </c>
      <c r="K59" s="1" t="s">
        <v>118</v>
      </c>
    </row>
    <row r="60" spans="1:11" x14ac:dyDescent="0.3">
      <c r="A60" s="1" t="s">
        <v>118</v>
      </c>
      <c r="B60" s="1" t="s">
        <v>179</v>
      </c>
      <c r="C60" s="1" t="s">
        <v>59</v>
      </c>
      <c r="D60">
        <v>0</v>
      </c>
      <c r="E60">
        <v>0</v>
      </c>
      <c r="F60">
        <v>0</v>
      </c>
      <c r="G60" s="1" t="s">
        <v>120</v>
      </c>
      <c r="H60">
        <v>3799</v>
      </c>
      <c r="I60">
        <v>3585</v>
      </c>
      <c r="J60">
        <v>7384</v>
      </c>
      <c r="K60" s="1" t="s">
        <v>118</v>
      </c>
    </row>
    <row r="61" spans="1:11" x14ac:dyDescent="0.3">
      <c r="A61" s="1" t="s">
        <v>118</v>
      </c>
      <c r="B61" s="1" t="s">
        <v>180</v>
      </c>
      <c r="C61" s="1" t="s">
        <v>60</v>
      </c>
      <c r="D61">
        <v>1</v>
      </c>
      <c r="E61">
        <v>0</v>
      </c>
      <c r="F61">
        <v>-1</v>
      </c>
      <c r="G61" s="1" t="s">
        <v>122</v>
      </c>
      <c r="H61">
        <v>4938</v>
      </c>
      <c r="I61">
        <v>4142</v>
      </c>
      <c r="J61">
        <v>9080</v>
      </c>
      <c r="K61" s="1" t="s">
        <v>118</v>
      </c>
    </row>
    <row r="62" spans="1:11" x14ac:dyDescent="0.3">
      <c r="A62" s="1" t="s">
        <v>118</v>
      </c>
      <c r="B62" s="1" t="s">
        <v>181</v>
      </c>
      <c r="C62" s="1" t="s">
        <v>61</v>
      </c>
      <c r="D62">
        <v>1</v>
      </c>
      <c r="E62">
        <v>0</v>
      </c>
      <c r="F62">
        <v>-1</v>
      </c>
      <c r="G62" s="1" t="s">
        <v>122</v>
      </c>
      <c r="H62">
        <v>3533</v>
      </c>
      <c r="I62">
        <v>3483</v>
      </c>
      <c r="J62">
        <v>7016</v>
      </c>
      <c r="K62" s="1" t="s">
        <v>118</v>
      </c>
    </row>
    <row r="63" spans="1:11" x14ac:dyDescent="0.3">
      <c r="A63" s="1" t="s">
        <v>118</v>
      </c>
      <c r="B63" s="1" t="s">
        <v>182</v>
      </c>
      <c r="C63" s="1" t="s">
        <v>62</v>
      </c>
      <c r="D63">
        <v>1</v>
      </c>
      <c r="E63">
        <v>0</v>
      </c>
      <c r="F63">
        <v>-1</v>
      </c>
      <c r="G63" s="1" t="s">
        <v>122</v>
      </c>
      <c r="H63">
        <v>3353</v>
      </c>
      <c r="I63">
        <v>3327</v>
      </c>
      <c r="J63">
        <v>6680</v>
      </c>
      <c r="K63" s="1" t="s">
        <v>118</v>
      </c>
    </row>
    <row r="64" spans="1:11" x14ac:dyDescent="0.3">
      <c r="A64" s="1" t="s">
        <v>118</v>
      </c>
      <c r="B64" s="1" t="s">
        <v>183</v>
      </c>
      <c r="C64" s="1" t="s">
        <v>63</v>
      </c>
      <c r="D64">
        <v>0</v>
      </c>
      <c r="E64">
        <v>0</v>
      </c>
      <c r="F64">
        <v>0</v>
      </c>
      <c r="G64" s="1" t="s">
        <v>120</v>
      </c>
      <c r="H64">
        <v>3188</v>
      </c>
      <c r="I64">
        <v>3612</v>
      </c>
      <c r="J64">
        <v>6800</v>
      </c>
      <c r="K64" s="1" t="s">
        <v>118</v>
      </c>
    </row>
    <row r="65" spans="1:11" x14ac:dyDescent="0.3">
      <c r="A65" s="1" t="s">
        <v>118</v>
      </c>
      <c r="B65" s="1" t="s">
        <v>184</v>
      </c>
      <c r="C65" s="1" t="s">
        <v>64</v>
      </c>
      <c r="D65">
        <v>2</v>
      </c>
      <c r="E65">
        <v>0</v>
      </c>
      <c r="F65">
        <v>-2</v>
      </c>
      <c r="G65" s="1" t="s">
        <v>122</v>
      </c>
      <c r="H65">
        <v>4224</v>
      </c>
      <c r="I65">
        <v>4155</v>
      </c>
      <c r="J65">
        <v>8379</v>
      </c>
      <c r="K65" s="1" t="s">
        <v>118</v>
      </c>
    </row>
    <row r="66" spans="1:11" x14ac:dyDescent="0.3">
      <c r="A66" s="1" t="s">
        <v>118</v>
      </c>
      <c r="B66" s="1" t="s">
        <v>118</v>
      </c>
      <c r="C66" s="1" t="s">
        <v>118</v>
      </c>
      <c r="G66" s="1" t="s">
        <v>118</v>
      </c>
      <c r="K66" s="1" t="s">
        <v>118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7935-36C0-4082-BD2D-9523673107A1}">
  <dimension ref="A1:S85"/>
  <sheetViews>
    <sheetView tabSelected="1" zoomScale="115" zoomScaleNormal="115" workbookViewId="0">
      <selection activeCell="E4" sqref="E4"/>
    </sheetView>
  </sheetViews>
  <sheetFormatPr defaultRowHeight="14" x14ac:dyDescent="0.3"/>
  <cols>
    <col min="1" max="1" width="17.83203125" bestFit="1" customWidth="1"/>
    <col min="2" max="3" width="13.83203125" customWidth="1"/>
    <col min="4" max="4" width="13.33203125" bestFit="1" customWidth="1"/>
    <col min="5" max="5" width="13.33203125" customWidth="1"/>
    <col min="6" max="6" width="13.33203125" style="2" customWidth="1"/>
    <col min="7" max="19" width="12.58203125" customWidth="1"/>
    <col min="20" max="20" width="14.33203125" customWidth="1"/>
    <col min="21" max="21" width="15.5" customWidth="1"/>
  </cols>
  <sheetData>
    <row r="1" spans="1:19" x14ac:dyDescent="0.3">
      <c r="A1" t="s">
        <v>0</v>
      </c>
      <c r="B1" t="s">
        <v>73</v>
      </c>
      <c r="C1" t="s">
        <v>104</v>
      </c>
      <c r="D1" t="s">
        <v>74</v>
      </c>
      <c r="E1" t="s">
        <v>105</v>
      </c>
      <c r="F1" s="2" t="s">
        <v>106</v>
      </c>
      <c r="G1" t="s">
        <v>83</v>
      </c>
      <c r="H1" t="s">
        <v>75</v>
      </c>
      <c r="I1" t="s">
        <v>79</v>
      </c>
      <c r="J1" t="s">
        <v>84</v>
      </c>
      <c r="K1" t="s">
        <v>76</v>
      </c>
      <c r="L1" t="s">
        <v>80</v>
      </c>
      <c r="M1" t="s">
        <v>85</v>
      </c>
      <c r="N1" t="s">
        <v>77</v>
      </c>
      <c r="O1" t="s">
        <v>81</v>
      </c>
      <c r="P1" t="s">
        <v>86</v>
      </c>
      <c r="Q1" t="s">
        <v>78</v>
      </c>
      <c r="R1" t="s">
        <v>82</v>
      </c>
      <c r="S1" t="s">
        <v>87</v>
      </c>
    </row>
    <row r="2" spans="1:19" x14ac:dyDescent="0.3">
      <c r="A2" t="s">
        <v>1</v>
      </c>
      <c r="B2">
        <v>1</v>
      </c>
      <c r="C2">
        <v>4035</v>
      </c>
      <c r="D2">
        <v>1</v>
      </c>
      <c r="E2">
        <v>4200</v>
      </c>
      <c r="F2" s="2">
        <f t="shared" ref="F2:F33" si="0">AVERAGE(C2,E2)</f>
        <v>4117.5</v>
      </c>
      <c r="G2" t="b">
        <f t="shared" ref="G2" si="1">B2&gt;D2</f>
        <v>0</v>
      </c>
      <c r="H2">
        <v>1</v>
      </c>
      <c r="I2">
        <v>1</v>
      </c>
      <c r="J2" t="b">
        <f>H2&gt;I2</f>
        <v>0</v>
      </c>
      <c r="K2">
        <v>1</v>
      </c>
      <c r="L2">
        <v>1</v>
      </c>
      <c r="M2" t="b">
        <f t="shared" ref="M2:M33" si="2">K2&gt;L2</f>
        <v>0</v>
      </c>
      <c r="N2">
        <v>1</v>
      </c>
      <c r="O2">
        <v>1</v>
      </c>
      <c r="P2" t="b">
        <f t="shared" ref="P2:P33" si="3">N2&gt;O2</f>
        <v>0</v>
      </c>
      <c r="Q2">
        <v>1</v>
      </c>
      <c r="R2">
        <v>1</v>
      </c>
      <c r="S2" t="b">
        <f t="shared" ref="S2:S33" si="4">Q2&gt;R2</f>
        <v>0</v>
      </c>
    </row>
    <row r="3" spans="1:19" x14ac:dyDescent="0.3">
      <c r="A3" t="s">
        <v>2</v>
      </c>
      <c r="B3">
        <v>1</v>
      </c>
      <c r="C3">
        <v>4215</v>
      </c>
      <c r="D3">
        <v>0</v>
      </c>
      <c r="E3">
        <v>3865</v>
      </c>
      <c r="F3" s="2">
        <f>AVERAGE(C3,E3)</f>
        <v>4040</v>
      </c>
      <c r="G3" t="b">
        <f t="shared" ref="G3:G34" si="5">B3&gt;D3</f>
        <v>1</v>
      </c>
      <c r="H3">
        <v>1</v>
      </c>
      <c r="I3">
        <v>0</v>
      </c>
      <c r="J3" t="b">
        <f>H3&gt;I3</f>
        <v>1</v>
      </c>
      <c r="K3">
        <v>0</v>
      </c>
      <c r="L3">
        <v>0</v>
      </c>
      <c r="M3" t="b">
        <f t="shared" si="2"/>
        <v>0</v>
      </c>
      <c r="N3">
        <v>0</v>
      </c>
      <c r="O3">
        <v>0</v>
      </c>
      <c r="P3" t="b">
        <f t="shared" si="3"/>
        <v>0</v>
      </c>
      <c r="Q3">
        <v>1</v>
      </c>
      <c r="R3">
        <v>0</v>
      </c>
      <c r="S3" t="b">
        <f t="shared" si="4"/>
        <v>1</v>
      </c>
    </row>
    <row r="4" spans="1:19" x14ac:dyDescent="0.3">
      <c r="A4" t="s">
        <v>3</v>
      </c>
      <c r="B4">
        <v>1</v>
      </c>
      <c r="C4">
        <v>4315</v>
      </c>
      <c r="D4">
        <v>0</v>
      </c>
      <c r="E4">
        <v>4078</v>
      </c>
      <c r="F4" s="2">
        <f t="shared" si="0"/>
        <v>4196.5</v>
      </c>
      <c r="G4" t="b">
        <f t="shared" si="5"/>
        <v>1</v>
      </c>
      <c r="H4">
        <v>1</v>
      </c>
      <c r="I4">
        <v>0</v>
      </c>
      <c r="J4" t="b">
        <f>H4&gt;I4</f>
        <v>1</v>
      </c>
      <c r="K4">
        <v>1</v>
      </c>
      <c r="L4">
        <v>1</v>
      </c>
      <c r="M4" t="b">
        <f t="shared" si="2"/>
        <v>0</v>
      </c>
      <c r="N4">
        <v>1</v>
      </c>
      <c r="O4">
        <v>0</v>
      </c>
      <c r="P4" t="b">
        <f t="shared" si="3"/>
        <v>1</v>
      </c>
      <c r="Q4">
        <v>1</v>
      </c>
      <c r="R4">
        <v>0</v>
      </c>
      <c r="S4" t="b">
        <f t="shared" si="4"/>
        <v>1</v>
      </c>
    </row>
    <row r="5" spans="1:19" x14ac:dyDescent="0.3">
      <c r="A5" t="s">
        <v>4</v>
      </c>
      <c r="B5">
        <v>1</v>
      </c>
      <c r="C5">
        <v>4381</v>
      </c>
      <c r="D5">
        <v>1</v>
      </c>
      <c r="E5">
        <v>4498</v>
      </c>
      <c r="F5" s="2">
        <f t="shared" si="0"/>
        <v>4439.5</v>
      </c>
      <c r="G5" t="b">
        <f t="shared" si="5"/>
        <v>0</v>
      </c>
      <c r="H5">
        <v>1</v>
      </c>
      <c r="I5">
        <v>1</v>
      </c>
      <c r="J5" t="b">
        <f>H5&gt;I5</f>
        <v>0</v>
      </c>
      <c r="K5">
        <v>1</v>
      </c>
      <c r="L5">
        <v>1</v>
      </c>
      <c r="M5" t="b">
        <f t="shared" si="2"/>
        <v>0</v>
      </c>
      <c r="N5">
        <v>1</v>
      </c>
      <c r="O5">
        <v>1</v>
      </c>
      <c r="P5" t="b">
        <f t="shared" si="3"/>
        <v>0</v>
      </c>
      <c r="Q5">
        <v>1</v>
      </c>
      <c r="R5">
        <v>1</v>
      </c>
      <c r="S5" t="b">
        <f t="shared" si="4"/>
        <v>0</v>
      </c>
    </row>
    <row r="6" spans="1:19" x14ac:dyDescent="0.3">
      <c r="A6" t="s">
        <v>5</v>
      </c>
      <c r="B6">
        <v>0</v>
      </c>
      <c r="C6">
        <v>4073</v>
      </c>
      <c r="D6">
        <v>0</v>
      </c>
      <c r="E6">
        <v>4136</v>
      </c>
      <c r="F6" s="2">
        <f t="shared" si="0"/>
        <v>4104.5</v>
      </c>
      <c r="G6" t="b">
        <f t="shared" si="5"/>
        <v>0</v>
      </c>
      <c r="H6">
        <v>0</v>
      </c>
      <c r="I6">
        <v>0</v>
      </c>
      <c r="J6" t="b">
        <f>H6&gt;I6</f>
        <v>0</v>
      </c>
      <c r="K6">
        <v>0</v>
      </c>
      <c r="L6">
        <v>0</v>
      </c>
      <c r="M6" t="b">
        <f t="shared" si="2"/>
        <v>0</v>
      </c>
      <c r="N6">
        <v>0</v>
      </c>
      <c r="O6">
        <v>0</v>
      </c>
      <c r="P6" t="b">
        <f t="shared" si="3"/>
        <v>0</v>
      </c>
      <c r="Q6">
        <v>0</v>
      </c>
      <c r="R6">
        <v>0</v>
      </c>
      <c r="S6" t="b">
        <f t="shared" si="4"/>
        <v>0</v>
      </c>
    </row>
    <row r="7" spans="1:19" x14ac:dyDescent="0.3">
      <c r="A7" t="s">
        <v>6</v>
      </c>
      <c r="B7">
        <v>6</v>
      </c>
      <c r="C7">
        <v>4783</v>
      </c>
      <c r="D7">
        <v>5</v>
      </c>
      <c r="E7">
        <v>4566</v>
      </c>
      <c r="F7" s="2">
        <f t="shared" si="0"/>
        <v>4674.5</v>
      </c>
      <c r="G7" t="b">
        <f t="shared" si="5"/>
        <v>1</v>
      </c>
      <c r="H7">
        <v>6</v>
      </c>
      <c r="I7">
        <v>5</v>
      </c>
      <c r="J7" t="b">
        <f>H7&gt;I7</f>
        <v>1</v>
      </c>
      <c r="K7">
        <v>6</v>
      </c>
      <c r="L7">
        <v>5</v>
      </c>
      <c r="M7" t="b">
        <f t="shared" si="2"/>
        <v>1</v>
      </c>
      <c r="N7">
        <v>6</v>
      </c>
      <c r="O7">
        <v>5</v>
      </c>
      <c r="P7" t="b">
        <f t="shared" si="3"/>
        <v>1</v>
      </c>
      <c r="Q7">
        <v>6</v>
      </c>
      <c r="R7">
        <v>5</v>
      </c>
      <c r="S7" t="b">
        <f t="shared" si="4"/>
        <v>1</v>
      </c>
    </row>
    <row r="8" spans="1:19" x14ac:dyDescent="0.3">
      <c r="A8" t="s">
        <v>7</v>
      </c>
      <c r="B8">
        <v>1</v>
      </c>
      <c r="C8">
        <v>4138</v>
      </c>
      <c r="D8">
        <v>0</v>
      </c>
      <c r="E8">
        <v>3822</v>
      </c>
      <c r="F8" s="2">
        <f t="shared" si="0"/>
        <v>3980</v>
      </c>
      <c r="G8" t="b">
        <f t="shared" si="5"/>
        <v>1</v>
      </c>
      <c r="H8">
        <v>1</v>
      </c>
      <c r="I8">
        <v>0</v>
      </c>
      <c r="J8" t="b">
        <f>H8&gt;I8</f>
        <v>1</v>
      </c>
      <c r="K8">
        <v>1</v>
      </c>
      <c r="L8">
        <v>0</v>
      </c>
      <c r="M8" t="b">
        <f t="shared" si="2"/>
        <v>1</v>
      </c>
      <c r="N8">
        <v>1</v>
      </c>
      <c r="O8">
        <v>0</v>
      </c>
      <c r="P8" t="b">
        <f t="shared" si="3"/>
        <v>1</v>
      </c>
      <c r="Q8">
        <v>1</v>
      </c>
      <c r="R8">
        <v>0</v>
      </c>
      <c r="S8" t="b">
        <f t="shared" si="4"/>
        <v>1</v>
      </c>
    </row>
    <row r="9" spans="1:19" x14ac:dyDescent="0.3">
      <c r="A9" t="s">
        <v>8</v>
      </c>
      <c r="B9">
        <v>1</v>
      </c>
      <c r="C9">
        <v>5004</v>
      </c>
      <c r="D9">
        <v>0</v>
      </c>
      <c r="E9">
        <v>4926</v>
      </c>
      <c r="F9" s="2">
        <f>AVERAGE(C9,E9)</f>
        <v>4965</v>
      </c>
      <c r="G9" t="b">
        <f t="shared" si="5"/>
        <v>1</v>
      </c>
      <c r="H9">
        <v>1</v>
      </c>
      <c r="I9">
        <v>0</v>
      </c>
      <c r="J9" t="b">
        <f>H9&gt;I9</f>
        <v>1</v>
      </c>
      <c r="K9">
        <v>1</v>
      </c>
      <c r="L9">
        <v>0</v>
      </c>
      <c r="M9" t="b">
        <f t="shared" si="2"/>
        <v>1</v>
      </c>
      <c r="N9">
        <v>1</v>
      </c>
      <c r="O9">
        <v>0</v>
      </c>
      <c r="P9" t="b">
        <f t="shared" si="3"/>
        <v>1</v>
      </c>
      <c r="Q9">
        <v>1</v>
      </c>
      <c r="R9">
        <v>0</v>
      </c>
      <c r="S9" t="b">
        <f t="shared" si="4"/>
        <v>1</v>
      </c>
    </row>
    <row r="10" spans="1:19" x14ac:dyDescent="0.3">
      <c r="A10" t="s">
        <v>9</v>
      </c>
      <c r="B10">
        <v>1</v>
      </c>
      <c r="C10">
        <v>4154</v>
      </c>
      <c r="D10">
        <v>0</v>
      </c>
      <c r="E10">
        <v>4075</v>
      </c>
      <c r="F10" s="2">
        <f t="shared" si="0"/>
        <v>4114.5</v>
      </c>
      <c r="G10" t="b">
        <f t="shared" si="5"/>
        <v>1</v>
      </c>
      <c r="H10">
        <v>1</v>
      </c>
      <c r="I10">
        <v>0</v>
      </c>
      <c r="J10" t="b">
        <f>H10&gt;I10</f>
        <v>1</v>
      </c>
      <c r="K10">
        <v>1</v>
      </c>
      <c r="L10">
        <v>0</v>
      </c>
      <c r="M10" t="b">
        <f t="shared" si="2"/>
        <v>1</v>
      </c>
      <c r="N10">
        <v>1</v>
      </c>
      <c r="O10">
        <v>0</v>
      </c>
      <c r="P10" t="b">
        <f t="shared" si="3"/>
        <v>1</v>
      </c>
      <c r="Q10">
        <v>1</v>
      </c>
      <c r="R10">
        <v>0</v>
      </c>
      <c r="S10" t="b">
        <f t="shared" si="4"/>
        <v>1</v>
      </c>
    </row>
    <row r="11" spans="1:19" x14ac:dyDescent="0.3">
      <c r="A11" t="s">
        <v>10</v>
      </c>
      <c r="B11">
        <v>0</v>
      </c>
      <c r="C11">
        <v>3691</v>
      </c>
      <c r="D11">
        <v>0</v>
      </c>
      <c r="E11">
        <v>4093</v>
      </c>
      <c r="F11" s="2">
        <f>AVERAGE(C11,E11)</f>
        <v>3892</v>
      </c>
      <c r="G11" t="b">
        <f t="shared" si="5"/>
        <v>0</v>
      </c>
      <c r="H11">
        <v>0</v>
      </c>
      <c r="I11">
        <v>0</v>
      </c>
      <c r="J11" t="b">
        <f>H11&gt;I11</f>
        <v>0</v>
      </c>
      <c r="K11">
        <v>1</v>
      </c>
      <c r="L11">
        <v>0</v>
      </c>
      <c r="M11" t="b">
        <f t="shared" si="2"/>
        <v>1</v>
      </c>
      <c r="N11">
        <v>0</v>
      </c>
      <c r="O11">
        <v>0</v>
      </c>
      <c r="P11" t="b">
        <f t="shared" si="3"/>
        <v>0</v>
      </c>
      <c r="Q11">
        <v>0</v>
      </c>
      <c r="R11">
        <v>0</v>
      </c>
      <c r="S11" t="b">
        <f t="shared" si="4"/>
        <v>0</v>
      </c>
    </row>
    <row r="12" spans="1:19" x14ac:dyDescent="0.3">
      <c r="A12" t="s">
        <v>11</v>
      </c>
      <c r="B12">
        <v>1</v>
      </c>
      <c r="C12">
        <v>5632</v>
      </c>
      <c r="D12">
        <v>2</v>
      </c>
      <c r="E12">
        <v>5884</v>
      </c>
      <c r="F12" s="2">
        <f t="shared" si="0"/>
        <v>5758</v>
      </c>
      <c r="G12" t="b">
        <f t="shared" si="5"/>
        <v>0</v>
      </c>
      <c r="H12">
        <v>1</v>
      </c>
      <c r="I12">
        <v>2</v>
      </c>
      <c r="J12" t="b">
        <f>H12&gt;I12</f>
        <v>0</v>
      </c>
      <c r="K12">
        <v>1</v>
      </c>
      <c r="L12">
        <v>2</v>
      </c>
      <c r="M12" t="b">
        <f t="shared" si="2"/>
        <v>0</v>
      </c>
      <c r="N12">
        <v>1</v>
      </c>
      <c r="O12">
        <v>2</v>
      </c>
      <c r="P12" t="b">
        <f t="shared" si="3"/>
        <v>0</v>
      </c>
      <c r="Q12">
        <v>1</v>
      </c>
      <c r="R12">
        <v>2</v>
      </c>
      <c r="S12" t="b">
        <f t="shared" si="4"/>
        <v>0</v>
      </c>
    </row>
    <row r="13" spans="1:19" x14ac:dyDescent="0.3">
      <c r="A13" t="s">
        <v>12</v>
      </c>
      <c r="B13">
        <v>1</v>
      </c>
      <c r="C13">
        <v>5715</v>
      </c>
      <c r="D13">
        <v>0</v>
      </c>
      <c r="E13">
        <v>5179</v>
      </c>
      <c r="F13" s="2">
        <f t="shared" si="0"/>
        <v>5447</v>
      </c>
      <c r="G13" t="b">
        <f t="shared" si="5"/>
        <v>1</v>
      </c>
      <c r="H13">
        <v>1</v>
      </c>
      <c r="I13">
        <v>0</v>
      </c>
      <c r="J13" t="b">
        <f>H13&gt;I13</f>
        <v>1</v>
      </c>
      <c r="K13">
        <v>1</v>
      </c>
      <c r="L13">
        <v>0</v>
      </c>
      <c r="M13" t="b">
        <f t="shared" si="2"/>
        <v>1</v>
      </c>
      <c r="N13">
        <v>1</v>
      </c>
      <c r="O13">
        <v>0</v>
      </c>
      <c r="P13" t="b">
        <f t="shared" si="3"/>
        <v>1</v>
      </c>
      <c r="Q13">
        <v>1</v>
      </c>
      <c r="R13">
        <v>0</v>
      </c>
      <c r="S13" t="b">
        <f t="shared" si="4"/>
        <v>1</v>
      </c>
    </row>
    <row r="14" spans="1:19" x14ac:dyDescent="0.3">
      <c r="A14" t="s">
        <v>13</v>
      </c>
      <c r="B14">
        <v>0</v>
      </c>
      <c r="C14">
        <v>3893</v>
      </c>
      <c r="D14">
        <v>0</v>
      </c>
      <c r="E14">
        <v>4298</v>
      </c>
      <c r="F14" s="2">
        <f t="shared" si="0"/>
        <v>4095.5</v>
      </c>
      <c r="G14" t="b">
        <f t="shared" si="5"/>
        <v>0</v>
      </c>
      <c r="H14">
        <v>0</v>
      </c>
      <c r="I14">
        <v>0</v>
      </c>
      <c r="J14" t="b">
        <f>H14&gt;I14</f>
        <v>0</v>
      </c>
      <c r="K14">
        <v>0</v>
      </c>
      <c r="L14">
        <v>0</v>
      </c>
      <c r="M14" t="b">
        <f t="shared" si="2"/>
        <v>0</v>
      </c>
      <c r="N14">
        <v>0</v>
      </c>
      <c r="O14">
        <v>0</v>
      </c>
      <c r="P14" t="b">
        <f t="shared" si="3"/>
        <v>0</v>
      </c>
      <c r="Q14">
        <v>0</v>
      </c>
      <c r="R14">
        <v>0</v>
      </c>
      <c r="S14" t="b">
        <f t="shared" si="4"/>
        <v>0</v>
      </c>
    </row>
    <row r="15" spans="1:19" x14ac:dyDescent="0.3">
      <c r="A15" t="s">
        <v>14</v>
      </c>
      <c r="B15">
        <v>1</v>
      </c>
      <c r="C15">
        <v>4439</v>
      </c>
      <c r="D15">
        <v>1</v>
      </c>
      <c r="E15">
        <v>4446</v>
      </c>
      <c r="F15" s="2">
        <f t="shared" si="0"/>
        <v>4442.5</v>
      </c>
      <c r="G15" t="b">
        <f t="shared" si="5"/>
        <v>0</v>
      </c>
      <c r="H15">
        <v>1</v>
      </c>
      <c r="I15">
        <v>1</v>
      </c>
      <c r="J15" t="b">
        <f>H15&gt;I15</f>
        <v>0</v>
      </c>
      <c r="K15">
        <v>1</v>
      </c>
      <c r="L15">
        <v>1</v>
      </c>
      <c r="M15" t="b">
        <f t="shared" si="2"/>
        <v>0</v>
      </c>
      <c r="N15">
        <v>1</v>
      </c>
      <c r="O15">
        <v>1</v>
      </c>
      <c r="P15" t="b">
        <f t="shared" si="3"/>
        <v>0</v>
      </c>
      <c r="Q15">
        <v>1</v>
      </c>
      <c r="R15">
        <v>1</v>
      </c>
      <c r="S15" t="b">
        <f t="shared" si="4"/>
        <v>0</v>
      </c>
    </row>
    <row r="16" spans="1:19" x14ac:dyDescent="0.3">
      <c r="A16" t="s">
        <v>15</v>
      </c>
      <c r="B16">
        <v>1</v>
      </c>
      <c r="C16">
        <v>4005</v>
      </c>
      <c r="D16">
        <v>0</v>
      </c>
      <c r="E16">
        <v>3870</v>
      </c>
      <c r="F16" s="2">
        <f t="shared" si="0"/>
        <v>3937.5</v>
      </c>
      <c r="G16" t="b">
        <f t="shared" si="5"/>
        <v>1</v>
      </c>
      <c r="H16">
        <v>1</v>
      </c>
      <c r="I16">
        <v>0</v>
      </c>
      <c r="J16" t="b">
        <f>H16&gt;I16</f>
        <v>1</v>
      </c>
      <c r="K16">
        <v>1</v>
      </c>
      <c r="L16">
        <v>0</v>
      </c>
      <c r="M16" t="b">
        <f t="shared" si="2"/>
        <v>1</v>
      </c>
      <c r="N16">
        <v>1</v>
      </c>
      <c r="O16">
        <v>0</v>
      </c>
      <c r="P16" t="b">
        <f t="shared" si="3"/>
        <v>1</v>
      </c>
      <c r="Q16">
        <v>1</v>
      </c>
      <c r="R16">
        <v>0</v>
      </c>
      <c r="S16" t="b">
        <f t="shared" si="4"/>
        <v>1</v>
      </c>
    </row>
    <row r="17" spans="1:19" x14ac:dyDescent="0.3">
      <c r="A17" t="s">
        <v>16</v>
      </c>
      <c r="B17">
        <v>1</v>
      </c>
      <c r="C17">
        <v>5488</v>
      </c>
      <c r="D17">
        <v>0</v>
      </c>
      <c r="E17">
        <v>5228</v>
      </c>
      <c r="F17" s="2">
        <f t="shared" si="0"/>
        <v>5358</v>
      </c>
      <c r="G17" t="b">
        <f t="shared" si="5"/>
        <v>1</v>
      </c>
      <c r="H17">
        <v>1</v>
      </c>
      <c r="I17">
        <v>0</v>
      </c>
      <c r="J17" t="b">
        <f>H17&gt;I17</f>
        <v>1</v>
      </c>
      <c r="K17">
        <v>1</v>
      </c>
      <c r="L17">
        <v>0</v>
      </c>
      <c r="M17" t="b">
        <f t="shared" si="2"/>
        <v>1</v>
      </c>
      <c r="N17">
        <v>1</v>
      </c>
      <c r="O17">
        <v>0</v>
      </c>
      <c r="P17" t="b">
        <f t="shared" si="3"/>
        <v>1</v>
      </c>
      <c r="Q17">
        <v>1</v>
      </c>
      <c r="R17">
        <v>0</v>
      </c>
      <c r="S17" t="b">
        <f t="shared" si="4"/>
        <v>1</v>
      </c>
    </row>
    <row r="18" spans="1:19" x14ac:dyDescent="0.3">
      <c r="A18" t="s">
        <v>17</v>
      </c>
      <c r="B18">
        <v>1</v>
      </c>
      <c r="C18">
        <v>5277</v>
      </c>
      <c r="D18">
        <v>0</v>
      </c>
      <c r="E18">
        <v>4852</v>
      </c>
      <c r="F18" s="2">
        <f t="shared" si="0"/>
        <v>5064.5</v>
      </c>
      <c r="G18" t="b">
        <f t="shared" si="5"/>
        <v>1</v>
      </c>
      <c r="H18">
        <v>1</v>
      </c>
      <c r="I18">
        <v>0</v>
      </c>
      <c r="J18" t="b">
        <f>H18&gt;I18</f>
        <v>1</v>
      </c>
      <c r="K18">
        <v>1</v>
      </c>
      <c r="L18">
        <v>1</v>
      </c>
      <c r="M18" t="b">
        <f t="shared" si="2"/>
        <v>0</v>
      </c>
      <c r="N18">
        <v>1</v>
      </c>
      <c r="O18">
        <v>1</v>
      </c>
      <c r="P18" t="b">
        <f t="shared" si="3"/>
        <v>0</v>
      </c>
      <c r="Q18">
        <v>1</v>
      </c>
      <c r="R18">
        <v>0</v>
      </c>
      <c r="S18" t="b">
        <f t="shared" si="4"/>
        <v>1</v>
      </c>
    </row>
    <row r="19" spans="1:19" x14ac:dyDescent="0.3">
      <c r="A19" t="s">
        <v>18</v>
      </c>
      <c r="B19">
        <v>1</v>
      </c>
      <c r="C19">
        <v>4173</v>
      </c>
      <c r="D19">
        <v>0</v>
      </c>
      <c r="E19">
        <v>3417</v>
      </c>
      <c r="F19" s="2">
        <f t="shared" si="0"/>
        <v>3795</v>
      </c>
      <c r="G19" t="b">
        <f t="shared" si="5"/>
        <v>1</v>
      </c>
      <c r="H19">
        <v>1</v>
      </c>
      <c r="I19">
        <v>0</v>
      </c>
      <c r="J19" t="b">
        <f>H19&gt;I19</f>
        <v>1</v>
      </c>
      <c r="K19">
        <v>1</v>
      </c>
      <c r="L19">
        <v>0</v>
      </c>
      <c r="M19" t="b">
        <f t="shared" si="2"/>
        <v>1</v>
      </c>
      <c r="N19">
        <v>1</v>
      </c>
      <c r="O19">
        <v>0</v>
      </c>
      <c r="P19" t="b">
        <f t="shared" si="3"/>
        <v>1</v>
      </c>
      <c r="Q19">
        <v>1</v>
      </c>
      <c r="R19">
        <v>0</v>
      </c>
      <c r="S19" t="b">
        <f t="shared" si="4"/>
        <v>1</v>
      </c>
    </row>
    <row r="20" spans="1:19" x14ac:dyDescent="0.3">
      <c r="A20" t="s">
        <v>19</v>
      </c>
      <c r="B20">
        <v>0</v>
      </c>
      <c r="C20">
        <v>4015</v>
      </c>
      <c r="D20">
        <v>0</v>
      </c>
      <c r="E20">
        <v>4187</v>
      </c>
      <c r="F20" s="2">
        <f t="shared" si="0"/>
        <v>4101</v>
      </c>
      <c r="G20" t="b">
        <f t="shared" si="5"/>
        <v>0</v>
      </c>
      <c r="H20">
        <v>0</v>
      </c>
      <c r="I20">
        <v>0</v>
      </c>
      <c r="J20" t="b">
        <f>H20&gt;I20</f>
        <v>0</v>
      </c>
      <c r="K20">
        <v>0</v>
      </c>
      <c r="L20">
        <v>0</v>
      </c>
      <c r="M20" t="b">
        <f t="shared" si="2"/>
        <v>0</v>
      </c>
      <c r="N20">
        <v>0</v>
      </c>
      <c r="O20">
        <v>0</v>
      </c>
      <c r="P20" t="b">
        <f t="shared" si="3"/>
        <v>0</v>
      </c>
      <c r="Q20">
        <v>0</v>
      </c>
      <c r="R20">
        <v>0</v>
      </c>
      <c r="S20" t="b">
        <f t="shared" si="4"/>
        <v>0</v>
      </c>
    </row>
    <row r="21" spans="1:19" x14ac:dyDescent="0.3">
      <c r="A21" t="s">
        <v>20</v>
      </c>
      <c r="B21">
        <v>1</v>
      </c>
      <c r="C21">
        <v>4260</v>
      </c>
      <c r="D21">
        <v>0</v>
      </c>
      <c r="E21">
        <v>3894</v>
      </c>
      <c r="F21" s="2">
        <f t="shared" si="0"/>
        <v>4077</v>
      </c>
      <c r="G21" t="b">
        <f t="shared" si="5"/>
        <v>1</v>
      </c>
      <c r="H21">
        <v>1</v>
      </c>
      <c r="I21">
        <v>0</v>
      </c>
      <c r="J21" t="b">
        <f>H21&gt;I21</f>
        <v>1</v>
      </c>
      <c r="K21">
        <v>1</v>
      </c>
      <c r="L21">
        <v>0</v>
      </c>
      <c r="M21" t="b">
        <f t="shared" si="2"/>
        <v>1</v>
      </c>
      <c r="N21">
        <v>1</v>
      </c>
      <c r="O21">
        <v>0</v>
      </c>
      <c r="P21" t="b">
        <f t="shared" si="3"/>
        <v>1</v>
      </c>
      <c r="Q21">
        <v>1</v>
      </c>
      <c r="R21">
        <v>0</v>
      </c>
      <c r="S21" t="b">
        <f t="shared" si="4"/>
        <v>1</v>
      </c>
    </row>
    <row r="22" spans="1:19" x14ac:dyDescent="0.3">
      <c r="A22" t="s">
        <v>21</v>
      </c>
      <c r="B22">
        <v>1</v>
      </c>
      <c r="C22">
        <v>5100</v>
      </c>
      <c r="D22">
        <v>0</v>
      </c>
      <c r="E22">
        <v>4877</v>
      </c>
      <c r="F22" s="2">
        <f t="shared" si="0"/>
        <v>4988.5</v>
      </c>
      <c r="G22" t="b">
        <f t="shared" si="5"/>
        <v>1</v>
      </c>
      <c r="H22">
        <v>1</v>
      </c>
      <c r="I22">
        <v>0</v>
      </c>
      <c r="J22" t="b">
        <f>H22&gt;I22</f>
        <v>1</v>
      </c>
      <c r="K22">
        <v>1</v>
      </c>
      <c r="L22">
        <v>0</v>
      </c>
      <c r="M22" t="b">
        <f t="shared" si="2"/>
        <v>1</v>
      </c>
      <c r="N22">
        <v>1</v>
      </c>
      <c r="O22">
        <v>0</v>
      </c>
      <c r="P22" t="b">
        <f t="shared" si="3"/>
        <v>1</v>
      </c>
      <c r="Q22">
        <v>1</v>
      </c>
      <c r="R22">
        <v>0</v>
      </c>
      <c r="S22" t="b">
        <f t="shared" si="4"/>
        <v>1</v>
      </c>
    </row>
    <row r="23" spans="1:19" x14ac:dyDescent="0.3">
      <c r="A23" t="s">
        <v>22</v>
      </c>
      <c r="B23">
        <v>1</v>
      </c>
      <c r="C23">
        <v>4944</v>
      </c>
      <c r="D23">
        <v>0</v>
      </c>
      <c r="E23">
        <v>5043</v>
      </c>
      <c r="F23" s="2">
        <f t="shared" si="0"/>
        <v>4993.5</v>
      </c>
      <c r="G23" t="b">
        <f t="shared" si="5"/>
        <v>1</v>
      </c>
      <c r="H23">
        <v>1</v>
      </c>
      <c r="I23">
        <v>0</v>
      </c>
      <c r="J23" t="b">
        <f>H23&gt;I23</f>
        <v>1</v>
      </c>
      <c r="K23">
        <v>1</v>
      </c>
      <c r="L23">
        <v>0</v>
      </c>
      <c r="M23" t="b">
        <f t="shared" si="2"/>
        <v>1</v>
      </c>
      <c r="N23">
        <v>1</v>
      </c>
      <c r="O23">
        <v>0</v>
      </c>
      <c r="P23" t="b">
        <f t="shared" si="3"/>
        <v>1</v>
      </c>
      <c r="Q23">
        <v>1</v>
      </c>
      <c r="R23">
        <v>0</v>
      </c>
      <c r="S23" t="b">
        <f t="shared" si="4"/>
        <v>1</v>
      </c>
    </row>
    <row r="24" spans="1:19" x14ac:dyDescent="0.3">
      <c r="A24" t="s">
        <v>23</v>
      </c>
      <c r="B24">
        <v>2</v>
      </c>
      <c r="C24">
        <v>4121</v>
      </c>
      <c r="D24">
        <v>0</v>
      </c>
      <c r="E24">
        <v>3900</v>
      </c>
      <c r="F24" s="2">
        <f t="shared" si="0"/>
        <v>4010.5</v>
      </c>
      <c r="G24" t="b">
        <f t="shared" si="5"/>
        <v>1</v>
      </c>
      <c r="H24">
        <v>2</v>
      </c>
      <c r="I24">
        <v>0</v>
      </c>
      <c r="J24" t="b">
        <f>H24&gt;I24</f>
        <v>1</v>
      </c>
      <c r="K24">
        <v>2</v>
      </c>
      <c r="L24">
        <v>0</v>
      </c>
      <c r="M24" t="b">
        <f t="shared" si="2"/>
        <v>1</v>
      </c>
      <c r="N24">
        <v>2</v>
      </c>
      <c r="O24">
        <v>0</v>
      </c>
      <c r="P24" t="b">
        <f t="shared" si="3"/>
        <v>1</v>
      </c>
      <c r="Q24">
        <v>2</v>
      </c>
      <c r="R24">
        <v>0</v>
      </c>
      <c r="S24" t="b">
        <f t="shared" si="4"/>
        <v>1</v>
      </c>
    </row>
    <row r="25" spans="1:19" x14ac:dyDescent="0.3">
      <c r="A25" t="s">
        <v>24</v>
      </c>
      <c r="B25">
        <v>1</v>
      </c>
      <c r="C25">
        <v>3916</v>
      </c>
      <c r="D25">
        <v>0</v>
      </c>
      <c r="E25">
        <v>3673</v>
      </c>
      <c r="F25" s="2">
        <f t="shared" si="0"/>
        <v>3794.5</v>
      </c>
      <c r="G25" t="b">
        <f t="shared" si="5"/>
        <v>1</v>
      </c>
      <c r="H25">
        <v>1</v>
      </c>
      <c r="I25">
        <v>0</v>
      </c>
      <c r="J25" t="b">
        <f>H25&gt;I25</f>
        <v>1</v>
      </c>
      <c r="K25">
        <v>1</v>
      </c>
      <c r="L25">
        <v>0</v>
      </c>
      <c r="M25" t="b">
        <f t="shared" si="2"/>
        <v>1</v>
      </c>
      <c r="N25">
        <v>1</v>
      </c>
      <c r="O25">
        <v>0</v>
      </c>
      <c r="P25" t="b">
        <f t="shared" si="3"/>
        <v>1</v>
      </c>
      <c r="Q25">
        <v>1</v>
      </c>
      <c r="R25">
        <v>0</v>
      </c>
      <c r="S25" t="b">
        <f t="shared" si="4"/>
        <v>1</v>
      </c>
    </row>
    <row r="26" spans="1:19" x14ac:dyDescent="0.3">
      <c r="A26" t="s">
        <v>25</v>
      </c>
      <c r="B26">
        <v>1</v>
      </c>
      <c r="C26">
        <v>4177</v>
      </c>
      <c r="D26">
        <v>0</v>
      </c>
      <c r="E26">
        <v>3877</v>
      </c>
      <c r="F26" s="2">
        <f t="shared" si="0"/>
        <v>4027</v>
      </c>
      <c r="G26" t="b">
        <f t="shared" si="5"/>
        <v>1</v>
      </c>
      <c r="H26">
        <v>1</v>
      </c>
      <c r="I26">
        <v>0</v>
      </c>
      <c r="J26" t="b">
        <f>H26&gt;I26</f>
        <v>1</v>
      </c>
      <c r="K26">
        <v>1</v>
      </c>
      <c r="L26">
        <v>0</v>
      </c>
      <c r="M26" t="b">
        <f t="shared" si="2"/>
        <v>1</v>
      </c>
      <c r="N26">
        <v>1</v>
      </c>
      <c r="O26">
        <v>0</v>
      </c>
      <c r="P26" t="b">
        <f t="shared" si="3"/>
        <v>1</v>
      </c>
      <c r="Q26">
        <v>1</v>
      </c>
      <c r="R26">
        <v>0</v>
      </c>
      <c r="S26" t="b">
        <f t="shared" si="4"/>
        <v>1</v>
      </c>
    </row>
    <row r="27" spans="1:19" x14ac:dyDescent="0.3">
      <c r="A27" t="s">
        <v>26</v>
      </c>
      <c r="B27">
        <v>1</v>
      </c>
      <c r="C27">
        <v>4155</v>
      </c>
      <c r="D27">
        <v>0</v>
      </c>
      <c r="E27">
        <v>4026</v>
      </c>
      <c r="F27" s="2">
        <f t="shared" si="0"/>
        <v>4090.5</v>
      </c>
      <c r="G27" t="b">
        <f t="shared" si="5"/>
        <v>1</v>
      </c>
      <c r="H27">
        <v>1</v>
      </c>
      <c r="I27">
        <v>0</v>
      </c>
      <c r="J27" t="b">
        <f>H27&gt;I27</f>
        <v>1</v>
      </c>
      <c r="K27">
        <v>1</v>
      </c>
      <c r="L27">
        <v>0</v>
      </c>
      <c r="M27" t="b">
        <f t="shared" si="2"/>
        <v>1</v>
      </c>
      <c r="N27">
        <v>1</v>
      </c>
      <c r="O27">
        <v>0</v>
      </c>
      <c r="P27" t="b">
        <f t="shared" si="3"/>
        <v>1</v>
      </c>
      <c r="Q27">
        <v>1</v>
      </c>
      <c r="R27">
        <v>0</v>
      </c>
      <c r="S27" t="b">
        <f t="shared" si="4"/>
        <v>1</v>
      </c>
    </row>
    <row r="28" spans="1:19" x14ac:dyDescent="0.3">
      <c r="A28" t="s">
        <v>27</v>
      </c>
      <c r="B28">
        <v>2</v>
      </c>
      <c r="C28">
        <v>3999</v>
      </c>
      <c r="D28">
        <v>1</v>
      </c>
      <c r="E28">
        <v>4069</v>
      </c>
      <c r="F28" s="2">
        <f t="shared" si="0"/>
        <v>4034</v>
      </c>
      <c r="G28" t="b">
        <f t="shared" si="5"/>
        <v>1</v>
      </c>
      <c r="H28">
        <v>2</v>
      </c>
      <c r="I28">
        <v>1</v>
      </c>
      <c r="J28" t="b">
        <f>H28&gt;I28</f>
        <v>1</v>
      </c>
      <c r="K28">
        <v>2</v>
      </c>
      <c r="L28">
        <v>1</v>
      </c>
      <c r="M28" t="b">
        <f t="shared" si="2"/>
        <v>1</v>
      </c>
      <c r="N28">
        <v>2</v>
      </c>
      <c r="O28">
        <v>1</v>
      </c>
      <c r="P28" t="b">
        <f t="shared" si="3"/>
        <v>1</v>
      </c>
      <c r="Q28">
        <v>2</v>
      </c>
      <c r="R28">
        <v>1</v>
      </c>
      <c r="S28" t="b">
        <f t="shared" si="4"/>
        <v>1</v>
      </c>
    </row>
    <row r="29" spans="1:19" x14ac:dyDescent="0.3">
      <c r="A29" t="s">
        <v>28</v>
      </c>
      <c r="B29">
        <v>1</v>
      </c>
      <c r="C29">
        <v>4350</v>
      </c>
      <c r="D29">
        <v>0</v>
      </c>
      <c r="E29">
        <v>4208</v>
      </c>
      <c r="F29" s="2">
        <f t="shared" si="0"/>
        <v>4279</v>
      </c>
      <c r="G29" t="b">
        <f t="shared" si="5"/>
        <v>1</v>
      </c>
      <c r="H29">
        <v>1</v>
      </c>
      <c r="I29">
        <v>0</v>
      </c>
      <c r="J29" t="b">
        <f>H29&gt;I29</f>
        <v>1</v>
      </c>
      <c r="K29">
        <v>1</v>
      </c>
      <c r="L29">
        <v>0</v>
      </c>
      <c r="M29" t="b">
        <f t="shared" si="2"/>
        <v>1</v>
      </c>
      <c r="N29">
        <v>1</v>
      </c>
      <c r="O29">
        <v>0</v>
      </c>
      <c r="P29" t="b">
        <f t="shared" si="3"/>
        <v>1</v>
      </c>
      <c r="Q29">
        <v>1</v>
      </c>
      <c r="R29">
        <v>0</v>
      </c>
      <c r="S29" t="b">
        <f t="shared" si="4"/>
        <v>1</v>
      </c>
    </row>
    <row r="30" spans="1:19" x14ac:dyDescent="0.3">
      <c r="A30" t="s">
        <v>29</v>
      </c>
      <c r="B30">
        <v>1</v>
      </c>
      <c r="C30">
        <v>4696</v>
      </c>
      <c r="D30">
        <v>0</v>
      </c>
      <c r="E30">
        <v>4397</v>
      </c>
      <c r="F30" s="2">
        <f t="shared" si="0"/>
        <v>4546.5</v>
      </c>
      <c r="G30" t="b">
        <f t="shared" si="5"/>
        <v>1</v>
      </c>
      <c r="H30">
        <v>1</v>
      </c>
      <c r="I30">
        <v>0</v>
      </c>
      <c r="J30" t="b">
        <f>H30&gt;I30</f>
        <v>1</v>
      </c>
      <c r="K30">
        <v>1</v>
      </c>
      <c r="L30">
        <v>0</v>
      </c>
      <c r="M30" t="b">
        <f t="shared" si="2"/>
        <v>1</v>
      </c>
      <c r="N30">
        <v>1</v>
      </c>
      <c r="O30">
        <v>0</v>
      </c>
      <c r="P30" t="b">
        <f t="shared" si="3"/>
        <v>1</v>
      </c>
      <c r="Q30">
        <v>1</v>
      </c>
      <c r="R30">
        <v>0</v>
      </c>
      <c r="S30" t="b">
        <f t="shared" si="4"/>
        <v>1</v>
      </c>
    </row>
    <row r="31" spans="1:19" x14ac:dyDescent="0.3">
      <c r="A31" t="s">
        <v>30</v>
      </c>
      <c r="B31">
        <v>1</v>
      </c>
      <c r="C31">
        <v>4562</v>
      </c>
      <c r="D31">
        <v>0</v>
      </c>
      <c r="E31">
        <v>4496</v>
      </c>
      <c r="F31" s="2">
        <f t="shared" si="0"/>
        <v>4529</v>
      </c>
      <c r="G31" t="b">
        <f t="shared" si="5"/>
        <v>1</v>
      </c>
      <c r="H31">
        <v>1</v>
      </c>
      <c r="I31">
        <v>0</v>
      </c>
      <c r="J31" t="b">
        <f>H31&gt;I31</f>
        <v>1</v>
      </c>
      <c r="K31">
        <v>1</v>
      </c>
      <c r="L31">
        <v>0</v>
      </c>
      <c r="M31" t="b">
        <f t="shared" si="2"/>
        <v>1</v>
      </c>
      <c r="N31">
        <v>1</v>
      </c>
      <c r="O31">
        <v>0</v>
      </c>
      <c r="P31" t="b">
        <f t="shared" si="3"/>
        <v>1</v>
      </c>
      <c r="Q31">
        <v>1</v>
      </c>
      <c r="R31">
        <v>0</v>
      </c>
      <c r="S31" t="b">
        <f t="shared" si="4"/>
        <v>1</v>
      </c>
    </row>
    <row r="32" spans="1:19" x14ac:dyDescent="0.3">
      <c r="A32" t="s">
        <v>31</v>
      </c>
      <c r="B32">
        <v>1</v>
      </c>
      <c r="C32">
        <v>5429</v>
      </c>
      <c r="D32">
        <v>0</v>
      </c>
      <c r="E32">
        <v>5532</v>
      </c>
      <c r="F32" s="2">
        <f t="shared" si="0"/>
        <v>5480.5</v>
      </c>
      <c r="G32" t="b">
        <f t="shared" si="5"/>
        <v>1</v>
      </c>
      <c r="H32">
        <v>1</v>
      </c>
      <c r="I32">
        <v>0</v>
      </c>
      <c r="J32" t="b">
        <f>H32&gt;I32</f>
        <v>1</v>
      </c>
      <c r="K32">
        <v>1</v>
      </c>
      <c r="L32">
        <v>1</v>
      </c>
      <c r="M32" t="b">
        <f t="shared" si="2"/>
        <v>0</v>
      </c>
      <c r="N32">
        <v>1</v>
      </c>
      <c r="O32">
        <v>0</v>
      </c>
      <c r="P32" t="b">
        <f t="shared" si="3"/>
        <v>1</v>
      </c>
      <c r="Q32">
        <v>1</v>
      </c>
      <c r="R32">
        <v>0</v>
      </c>
      <c r="S32" t="b">
        <f t="shared" si="4"/>
        <v>1</v>
      </c>
    </row>
    <row r="33" spans="1:19" x14ac:dyDescent="0.3">
      <c r="A33" t="s">
        <v>32</v>
      </c>
      <c r="B33">
        <v>1</v>
      </c>
      <c r="C33">
        <v>3863</v>
      </c>
      <c r="D33">
        <v>0</v>
      </c>
      <c r="E33">
        <v>3863</v>
      </c>
      <c r="F33" s="2">
        <f t="shared" si="0"/>
        <v>3863</v>
      </c>
      <c r="G33" t="b">
        <f t="shared" si="5"/>
        <v>1</v>
      </c>
      <c r="H33">
        <v>1</v>
      </c>
      <c r="I33">
        <v>0</v>
      </c>
      <c r="J33" t="b">
        <f>H33&gt;I33</f>
        <v>1</v>
      </c>
      <c r="K33">
        <v>1</v>
      </c>
      <c r="L33">
        <v>0</v>
      </c>
      <c r="M33" t="b">
        <f t="shared" si="2"/>
        <v>1</v>
      </c>
      <c r="N33">
        <v>1</v>
      </c>
      <c r="O33">
        <v>0</v>
      </c>
      <c r="P33" t="b">
        <f t="shared" si="3"/>
        <v>1</v>
      </c>
      <c r="Q33">
        <v>1</v>
      </c>
      <c r="R33">
        <v>0</v>
      </c>
      <c r="S33" t="b">
        <f t="shared" si="4"/>
        <v>1</v>
      </c>
    </row>
    <row r="34" spans="1:19" x14ac:dyDescent="0.3">
      <c r="A34" t="s">
        <v>33</v>
      </c>
      <c r="B34">
        <v>0</v>
      </c>
      <c r="C34">
        <v>3719</v>
      </c>
      <c r="D34">
        <v>0</v>
      </c>
      <c r="E34">
        <v>3701</v>
      </c>
      <c r="F34" s="2">
        <f t="shared" ref="F34:F65" si="6">AVERAGE(C34,E34)</f>
        <v>3710</v>
      </c>
      <c r="G34" t="b">
        <f t="shared" si="5"/>
        <v>0</v>
      </c>
      <c r="H34">
        <v>0</v>
      </c>
      <c r="I34">
        <v>0</v>
      </c>
      <c r="J34" t="b">
        <f>H34&gt;I34</f>
        <v>0</v>
      </c>
      <c r="K34">
        <v>0</v>
      </c>
      <c r="L34">
        <v>0</v>
      </c>
      <c r="M34" t="b">
        <f t="shared" ref="M34:M65" si="7">K34&gt;L34</f>
        <v>0</v>
      </c>
      <c r="N34">
        <v>0</v>
      </c>
      <c r="O34">
        <v>0</v>
      </c>
      <c r="P34" t="b">
        <f t="shared" ref="P34:P65" si="8">N34&gt;O34</f>
        <v>0</v>
      </c>
      <c r="Q34">
        <v>0</v>
      </c>
      <c r="R34">
        <v>0</v>
      </c>
      <c r="S34" t="b">
        <f t="shared" ref="S34:S65" si="9">Q34&gt;R34</f>
        <v>0</v>
      </c>
    </row>
    <row r="35" spans="1:19" x14ac:dyDescent="0.3">
      <c r="A35" t="s">
        <v>34</v>
      </c>
      <c r="B35">
        <v>2</v>
      </c>
      <c r="C35">
        <v>5121</v>
      </c>
      <c r="D35">
        <v>1</v>
      </c>
      <c r="E35">
        <v>5326</v>
      </c>
      <c r="F35" s="2">
        <f t="shared" si="6"/>
        <v>5223.5</v>
      </c>
      <c r="G35" t="b">
        <f t="shared" ref="G35:G65" si="10">B35&gt;D35</f>
        <v>1</v>
      </c>
      <c r="H35">
        <v>2</v>
      </c>
      <c r="I35">
        <v>1</v>
      </c>
      <c r="J35" t="b">
        <f>H35&gt;I35</f>
        <v>1</v>
      </c>
      <c r="K35">
        <v>2</v>
      </c>
      <c r="L35">
        <v>1</v>
      </c>
      <c r="M35" t="b">
        <f t="shared" si="7"/>
        <v>1</v>
      </c>
      <c r="N35">
        <v>2</v>
      </c>
      <c r="O35">
        <v>1</v>
      </c>
      <c r="P35" t="b">
        <f t="shared" si="8"/>
        <v>1</v>
      </c>
      <c r="Q35">
        <v>2</v>
      </c>
      <c r="R35">
        <v>1</v>
      </c>
      <c r="S35" t="b">
        <f t="shared" si="9"/>
        <v>1</v>
      </c>
    </row>
    <row r="36" spans="1:19" x14ac:dyDescent="0.3">
      <c r="A36" t="s">
        <v>35</v>
      </c>
      <c r="B36">
        <v>1</v>
      </c>
      <c r="C36">
        <v>5324</v>
      </c>
      <c r="D36">
        <v>0</v>
      </c>
      <c r="E36">
        <v>5528</v>
      </c>
      <c r="F36" s="2">
        <f t="shared" si="6"/>
        <v>5426</v>
      </c>
      <c r="G36" t="b">
        <f t="shared" si="10"/>
        <v>1</v>
      </c>
      <c r="H36">
        <v>1</v>
      </c>
      <c r="I36">
        <v>0</v>
      </c>
      <c r="J36" t="b">
        <f>H36&gt;I36</f>
        <v>1</v>
      </c>
      <c r="K36">
        <v>1</v>
      </c>
      <c r="L36">
        <v>0</v>
      </c>
      <c r="M36" t="b">
        <f t="shared" si="7"/>
        <v>1</v>
      </c>
      <c r="N36">
        <v>1</v>
      </c>
      <c r="O36">
        <v>0</v>
      </c>
      <c r="P36" t="b">
        <f t="shared" si="8"/>
        <v>1</v>
      </c>
      <c r="Q36">
        <v>1</v>
      </c>
      <c r="R36">
        <v>0</v>
      </c>
      <c r="S36" t="b">
        <f t="shared" si="9"/>
        <v>1</v>
      </c>
    </row>
    <row r="37" spans="1:19" x14ac:dyDescent="0.3">
      <c r="A37" t="s">
        <v>36</v>
      </c>
      <c r="B37">
        <v>1</v>
      </c>
      <c r="C37">
        <v>4160</v>
      </c>
      <c r="D37">
        <v>0</v>
      </c>
      <c r="E37">
        <v>3879</v>
      </c>
      <c r="F37" s="2">
        <f t="shared" si="6"/>
        <v>4019.5</v>
      </c>
      <c r="G37" t="b">
        <f t="shared" si="10"/>
        <v>1</v>
      </c>
      <c r="H37">
        <v>1</v>
      </c>
      <c r="I37">
        <v>0</v>
      </c>
      <c r="J37" t="b">
        <f>H37&gt;I37</f>
        <v>1</v>
      </c>
      <c r="K37">
        <v>1</v>
      </c>
      <c r="L37">
        <v>0</v>
      </c>
      <c r="M37" t="b">
        <f t="shared" si="7"/>
        <v>1</v>
      </c>
      <c r="N37">
        <v>1</v>
      </c>
      <c r="O37">
        <v>0</v>
      </c>
      <c r="P37" t="b">
        <f t="shared" si="8"/>
        <v>1</v>
      </c>
      <c r="Q37">
        <v>1</v>
      </c>
      <c r="R37">
        <v>0</v>
      </c>
      <c r="S37" t="b">
        <f t="shared" si="9"/>
        <v>1</v>
      </c>
    </row>
    <row r="38" spans="1:19" x14ac:dyDescent="0.3">
      <c r="A38" t="s">
        <v>37</v>
      </c>
      <c r="B38">
        <v>1</v>
      </c>
      <c r="C38">
        <v>4117</v>
      </c>
      <c r="D38">
        <v>0</v>
      </c>
      <c r="E38">
        <v>4105</v>
      </c>
      <c r="F38" s="2">
        <f t="shared" si="6"/>
        <v>4111</v>
      </c>
      <c r="G38" t="b">
        <f t="shared" si="10"/>
        <v>1</v>
      </c>
      <c r="H38">
        <v>1</v>
      </c>
      <c r="I38">
        <v>0</v>
      </c>
      <c r="J38" t="b">
        <f>H38&gt;I38</f>
        <v>1</v>
      </c>
      <c r="K38">
        <v>1</v>
      </c>
      <c r="L38">
        <v>0</v>
      </c>
      <c r="M38" t="b">
        <f t="shared" si="7"/>
        <v>1</v>
      </c>
      <c r="N38">
        <v>1</v>
      </c>
      <c r="O38">
        <v>0</v>
      </c>
      <c r="P38" t="b">
        <f t="shared" si="8"/>
        <v>1</v>
      </c>
      <c r="Q38">
        <v>1</v>
      </c>
      <c r="R38">
        <v>1</v>
      </c>
      <c r="S38" t="b">
        <f t="shared" si="9"/>
        <v>0</v>
      </c>
    </row>
    <row r="39" spans="1:19" x14ac:dyDescent="0.3">
      <c r="A39" t="s">
        <v>38</v>
      </c>
      <c r="B39">
        <v>1</v>
      </c>
      <c r="C39">
        <v>6455</v>
      </c>
      <c r="D39">
        <v>0</v>
      </c>
      <c r="E39">
        <v>6215</v>
      </c>
      <c r="F39" s="2">
        <f t="shared" si="6"/>
        <v>6335</v>
      </c>
      <c r="G39" t="b">
        <f t="shared" si="10"/>
        <v>1</v>
      </c>
      <c r="H39">
        <v>1</v>
      </c>
      <c r="I39">
        <v>0</v>
      </c>
      <c r="J39" t="b">
        <f>H39&gt;I39</f>
        <v>1</v>
      </c>
      <c r="K39">
        <v>1</v>
      </c>
      <c r="L39">
        <v>0</v>
      </c>
      <c r="M39" t="b">
        <f t="shared" si="7"/>
        <v>1</v>
      </c>
      <c r="N39">
        <v>1</v>
      </c>
      <c r="O39">
        <v>0</v>
      </c>
      <c r="P39" t="b">
        <f t="shared" si="8"/>
        <v>1</v>
      </c>
      <c r="Q39">
        <v>1</v>
      </c>
      <c r="R39">
        <v>0</v>
      </c>
      <c r="S39" t="b">
        <f t="shared" si="9"/>
        <v>1</v>
      </c>
    </row>
    <row r="40" spans="1:19" x14ac:dyDescent="0.3">
      <c r="A40" t="s">
        <v>39</v>
      </c>
      <c r="B40">
        <v>0</v>
      </c>
      <c r="C40">
        <v>4530</v>
      </c>
      <c r="D40">
        <v>0</v>
      </c>
      <c r="E40">
        <v>3835</v>
      </c>
      <c r="F40" s="2">
        <f t="shared" si="6"/>
        <v>4182.5</v>
      </c>
      <c r="G40" t="b">
        <f t="shared" si="10"/>
        <v>0</v>
      </c>
      <c r="H40">
        <v>0</v>
      </c>
      <c r="I40">
        <v>0</v>
      </c>
      <c r="J40" t="b">
        <f>H40&gt;I40</f>
        <v>0</v>
      </c>
      <c r="K40">
        <v>0</v>
      </c>
      <c r="L40">
        <v>0</v>
      </c>
      <c r="M40" t="b">
        <f t="shared" si="7"/>
        <v>0</v>
      </c>
      <c r="N40">
        <v>0</v>
      </c>
      <c r="O40">
        <v>0</v>
      </c>
      <c r="P40" t="b">
        <f t="shared" si="8"/>
        <v>0</v>
      </c>
      <c r="Q40">
        <v>0</v>
      </c>
      <c r="R40">
        <v>0</v>
      </c>
      <c r="S40" t="b">
        <f t="shared" si="9"/>
        <v>0</v>
      </c>
    </row>
    <row r="41" spans="1:19" x14ac:dyDescent="0.3">
      <c r="A41" t="s">
        <v>40</v>
      </c>
      <c r="B41">
        <v>1</v>
      </c>
      <c r="C41">
        <v>5010</v>
      </c>
      <c r="D41">
        <v>0</v>
      </c>
      <c r="E41">
        <v>4598</v>
      </c>
      <c r="F41" s="2">
        <f t="shared" si="6"/>
        <v>4804</v>
      </c>
      <c r="G41" t="b">
        <f t="shared" si="10"/>
        <v>1</v>
      </c>
      <c r="H41">
        <v>1</v>
      </c>
      <c r="I41">
        <v>0</v>
      </c>
      <c r="J41" t="b">
        <f>H41&gt;I41</f>
        <v>1</v>
      </c>
      <c r="K41">
        <v>1</v>
      </c>
      <c r="L41">
        <v>1</v>
      </c>
      <c r="M41" t="b">
        <f t="shared" si="7"/>
        <v>0</v>
      </c>
      <c r="N41">
        <v>1</v>
      </c>
      <c r="O41">
        <v>0</v>
      </c>
      <c r="P41" t="b">
        <f t="shared" si="8"/>
        <v>1</v>
      </c>
      <c r="Q41">
        <v>0</v>
      </c>
      <c r="R41">
        <v>0</v>
      </c>
      <c r="S41" t="b">
        <f t="shared" si="9"/>
        <v>0</v>
      </c>
    </row>
    <row r="42" spans="1:19" x14ac:dyDescent="0.3">
      <c r="A42" t="s">
        <v>41</v>
      </c>
      <c r="B42">
        <v>1</v>
      </c>
      <c r="C42">
        <v>5450</v>
      </c>
      <c r="D42">
        <v>0</v>
      </c>
      <c r="E42">
        <v>5196</v>
      </c>
      <c r="F42" s="2">
        <f t="shared" si="6"/>
        <v>5323</v>
      </c>
      <c r="G42" t="b">
        <f t="shared" si="10"/>
        <v>1</v>
      </c>
      <c r="H42">
        <v>1</v>
      </c>
      <c r="I42">
        <v>0</v>
      </c>
      <c r="J42" t="b">
        <f>H42&gt;I42</f>
        <v>1</v>
      </c>
      <c r="K42">
        <v>1</v>
      </c>
      <c r="L42">
        <v>0</v>
      </c>
      <c r="M42" t="b">
        <f t="shared" si="7"/>
        <v>1</v>
      </c>
      <c r="N42">
        <v>1</v>
      </c>
      <c r="O42">
        <v>0</v>
      </c>
      <c r="P42" t="b">
        <f t="shared" si="8"/>
        <v>1</v>
      </c>
      <c r="Q42">
        <v>1</v>
      </c>
      <c r="R42">
        <v>0</v>
      </c>
      <c r="S42" t="b">
        <f t="shared" si="9"/>
        <v>1</v>
      </c>
    </row>
    <row r="43" spans="1:19" x14ac:dyDescent="0.3">
      <c r="A43" t="s">
        <v>42</v>
      </c>
      <c r="B43">
        <v>1</v>
      </c>
      <c r="C43">
        <v>4944</v>
      </c>
      <c r="D43">
        <v>1</v>
      </c>
      <c r="E43">
        <v>5145</v>
      </c>
      <c r="F43" s="2">
        <f t="shared" si="6"/>
        <v>5044.5</v>
      </c>
      <c r="G43" t="b">
        <f t="shared" si="10"/>
        <v>0</v>
      </c>
      <c r="H43">
        <v>1</v>
      </c>
      <c r="I43">
        <v>1</v>
      </c>
      <c r="J43" t="b">
        <f>H43&gt;I43</f>
        <v>0</v>
      </c>
      <c r="K43">
        <v>1</v>
      </c>
      <c r="L43">
        <v>1</v>
      </c>
      <c r="M43" t="b">
        <f t="shared" si="7"/>
        <v>0</v>
      </c>
      <c r="N43">
        <v>1</v>
      </c>
      <c r="O43">
        <v>1</v>
      </c>
      <c r="P43" t="b">
        <f t="shared" si="8"/>
        <v>0</v>
      </c>
      <c r="Q43">
        <v>1</v>
      </c>
      <c r="R43">
        <v>1</v>
      </c>
      <c r="S43" t="b">
        <f t="shared" si="9"/>
        <v>0</v>
      </c>
    </row>
    <row r="44" spans="1:19" x14ac:dyDescent="0.3">
      <c r="A44" t="s">
        <v>43</v>
      </c>
      <c r="B44">
        <v>1</v>
      </c>
      <c r="C44">
        <v>4735</v>
      </c>
      <c r="D44">
        <v>0</v>
      </c>
      <c r="E44">
        <v>4372</v>
      </c>
      <c r="F44" s="2">
        <f t="shared" si="6"/>
        <v>4553.5</v>
      </c>
      <c r="G44" t="b">
        <f t="shared" si="10"/>
        <v>1</v>
      </c>
      <c r="H44">
        <v>1</v>
      </c>
      <c r="I44">
        <v>0</v>
      </c>
      <c r="J44" t="b">
        <f>H44&gt;I44</f>
        <v>1</v>
      </c>
      <c r="K44">
        <v>1</v>
      </c>
      <c r="L44">
        <v>0</v>
      </c>
      <c r="M44" t="b">
        <f t="shared" si="7"/>
        <v>1</v>
      </c>
      <c r="N44">
        <v>1</v>
      </c>
      <c r="O44">
        <v>0</v>
      </c>
      <c r="P44" t="b">
        <f t="shared" si="8"/>
        <v>1</v>
      </c>
      <c r="Q44">
        <v>1</v>
      </c>
      <c r="R44">
        <v>0</v>
      </c>
      <c r="S44" t="b">
        <f t="shared" si="9"/>
        <v>1</v>
      </c>
    </row>
    <row r="45" spans="1:19" x14ac:dyDescent="0.3">
      <c r="A45" t="s">
        <v>44</v>
      </c>
      <c r="B45">
        <v>1</v>
      </c>
      <c r="C45">
        <v>4258</v>
      </c>
      <c r="D45">
        <v>0</v>
      </c>
      <c r="E45">
        <v>4092</v>
      </c>
      <c r="F45" s="2">
        <f t="shared" si="6"/>
        <v>4175</v>
      </c>
      <c r="G45" t="b">
        <f t="shared" si="10"/>
        <v>1</v>
      </c>
      <c r="H45">
        <v>1</v>
      </c>
      <c r="I45">
        <v>0</v>
      </c>
      <c r="J45" t="b">
        <f>H45&gt;I45</f>
        <v>1</v>
      </c>
      <c r="K45">
        <v>1</v>
      </c>
      <c r="L45">
        <v>0</v>
      </c>
      <c r="M45" t="b">
        <f t="shared" si="7"/>
        <v>1</v>
      </c>
      <c r="N45">
        <v>1</v>
      </c>
      <c r="O45">
        <v>0</v>
      </c>
      <c r="P45" t="b">
        <f t="shared" si="8"/>
        <v>1</v>
      </c>
      <c r="Q45">
        <v>1</v>
      </c>
      <c r="R45">
        <v>0</v>
      </c>
      <c r="S45" t="b">
        <f t="shared" si="9"/>
        <v>1</v>
      </c>
    </row>
    <row r="46" spans="1:19" x14ac:dyDescent="0.3">
      <c r="A46" t="s">
        <v>45</v>
      </c>
      <c r="B46">
        <v>1</v>
      </c>
      <c r="C46">
        <v>4884</v>
      </c>
      <c r="D46">
        <v>0</v>
      </c>
      <c r="E46">
        <v>4346</v>
      </c>
      <c r="F46" s="2">
        <f t="shared" si="6"/>
        <v>4615</v>
      </c>
      <c r="G46" t="b">
        <f t="shared" si="10"/>
        <v>1</v>
      </c>
      <c r="H46">
        <v>1</v>
      </c>
      <c r="I46">
        <v>0</v>
      </c>
      <c r="J46" t="b">
        <f>H46&gt;I46</f>
        <v>1</v>
      </c>
      <c r="K46">
        <v>1</v>
      </c>
      <c r="L46">
        <v>0</v>
      </c>
      <c r="M46" t="b">
        <f t="shared" si="7"/>
        <v>1</v>
      </c>
      <c r="N46">
        <v>0</v>
      </c>
      <c r="O46">
        <v>0</v>
      </c>
      <c r="P46" t="b">
        <f t="shared" si="8"/>
        <v>0</v>
      </c>
      <c r="Q46">
        <v>1</v>
      </c>
      <c r="R46">
        <v>0</v>
      </c>
      <c r="S46" t="b">
        <f t="shared" si="9"/>
        <v>1</v>
      </c>
    </row>
    <row r="47" spans="1:19" x14ac:dyDescent="0.3">
      <c r="A47" t="s">
        <v>46</v>
      </c>
      <c r="B47">
        <v>1</v>
      </c>
      <c r="C47">
        <v>5500</v>
      </c>
      <c r="D47">
        <v>0</v>
      </c>
      <c r="E47">
        <v>5033</v>
      </c>
      <c r="F47" s="2">
        <f t="shared" si="6"/>
        <v>5266.5</v>
      </c>
      <c r="G47" t="b">
        <f t="shared" si="10"/>
        <v>1</v>
      </c>
      <c r="H47">
        <v>1</v>
      </c>
      <c r="I47">
        <v>0</v>
      </c>
      <c r="J47" t="b">
        <f>H47&gt;I47</f>
        <v>1</v>
      </c>
      <c r="K47">
        <v>1</v>
      </c>
      <c r="L47">
        <v>0</v>
      </c>
      <c r="M47" t="b">
        <f t="shared" si="7"/>
        <v>1</v>
      </c>
      <c r="N47">
        <v>1</v>
      </c>
      <c r="O47">
        <v>0</v>
      </c>
      <c r="P47" t="b">
        <f t="shared" si="8"/>
        <v>1</v>
      </c>
      <c r="Q47">
        <v>1</v>
      </c>
      <c r="R47">
        <v>0</v>
      </c>
      <c r="S47" t="b">
        <f t="shared" si="9"/>
        <v>1</v>
      </c>
    </row>
    <row r="48" spans="1:19" x14ac:dyDescent="0.3">
      <c r="A48" t="s">
        <v>47</v>
      </c>
      <c r="B48">
        <v>1</v>
      </c>
      <c r="C48">
        <v>4637</v>
      </c>
      <c r="D48">
        <v>0</v>
      </c>
      <c r="E48">
        <v>5001</v>
      </c>
      <c r="F48" s="2">
        <f t="shared" si="6"/>
        <v>4819</v>
      </c>
      <c r="G48" t="b">
        <f t="shared" si="10"/>
        <v>1</v>
      </c>
      <c r="H48">
        <v>1</v>
      </c>
      <c r="I48">
        <v>0</v>
      </c>
      <c r="J48" t="b">
        <f>H48&gt;I48</f>
        <v>1</v>
      </c>
      <c r="K48">
        <v>1</v>
      </c>
      <c r="L48">
        <v>0</v>
      </c>
      <c r="M48" t="b">
        <f t="shared" si="7"/>
        <v>1</v>
      </c>
      <c r="N48">
        <v>1</v>
      </c>
      <c r="O48">
        <v>0</v>
      </c>
      <c r="P48" t="b">
        <f t="shared" si="8"/>
        <v>1</v>
      </c>
      <c r="Q48">
        <v>1</v>
      </c>
      <c r="R48">
        <v>0</v>
      </c>
      <c r="S48" t="b">
        <f t="shared" si="9"/>
        <v>1</v>
      </c>
    </row>
    <row r="49" spans="1:19" x14ac:dyDescent="0.3">
      <c r="A49" t="s">
        <v>48</v>
      </c>
      <c r="B49">
        <v>0</v>
      </c>
      <c r="C49">
        <v>3785</v>
      </c>
      <c r="D49">
        <v>0</v>
      </c>
      <c r="E49">
        <v>3981</v>
      </c>
      <c r="F49" s="2">
        <f t="shared" si="6"/>
        <v>3883</v>
      </c>
      <c r="G49" t="b">
        <f t="shared" si="10"/>
        <v>0</v>
      </c>
      <c r="H49">
        <v>0</v>
      </c>
      <c r="I49">
        <v>0</v>
      </c>
      <c r="J49" t="b">
        <f>H49&gt;I49</f>
        <v>0</v>
      </c>
      <c r="K49">
        <v>0</v>
      </c>
      <c r="L49">
        <v>0</v>
      </c>
      <c r="M49" t="b">
        <f t="shared" si="7"/>
        <v>0</v>
      </c>
      <c r="N49">
        <v>0</v>
      </c>
      <c r="O49">
        <v>0</v>
      </c>
      <c r="P49" t="b">
        <f t="shared" si="8"/>
        <v>0</v>
      </c>
      <c r="Q49">
        <v>0</v>
      </c>
      <c r="R49">
        <v>0</v>
      </c>
      <c r="S49" t="b">
        <f t="shared" si="9"/>
        <v>0</v>
      </c>
    </row>
    <row r="50" spans="1:19" x14ac:dyDescent="0.3">
      <c r="A50" t="s">
        <v>49</v>
      </c>
      <c r="B50">
        <v>1</v>
      </c>
      <c r="C50">
        <v>5374</v>
      </c>
      <c r="D50">
        <v>0</v>
      </c>
      <c r="E50">
        <v>5721</v>
      </c>
      <c r="F50" s="2">
        <f t="shared" si="6"/>
        <v>5547.5</v>
      </c>
      <c r="G50" t="b">
        <f t="shared" si="10"/>
        <v>1</v>
      </c>
      <c r="H50">
        <v>1</v>
      </c>
      <c r="I50">
        <v>0</v>
      </c>
      <c r="J50" t="b">
        <f>H50&gt;I50</f>
        <v>1</v>
      </c>
      <c r="K50">
        <v>1</v>
      </c>
      <c r="L50">
        <v>0</v>
      </c>
      <c r="M50" t="b">
        <f t="shared" si="7"/>
        <v>1</v>
      </c>
      <c r="N50">
        <v>1</v>
      </c>
      <c r="O50">
        <v>0</v>
      </c>
      <c r="P50" t="b">
        <f t="shared" si="8"/>
        <v>1</v>
      </c>
      <c r="Q50">
        <v>1</v>
      </c>
      <c r="R50">
        <v>0</v>
      </c>
      <c r="S50" t="b">
        <f t="shared" si="9"/>
        <v>1</v>
      </c>
    </row>
    <row r="51" spans="1:19" x14ac:dyDescent="0.3">
      <c r="A51" t="s">
        <v>50</v>
      </c>
      <c r="B51">
        <v>1</v>
      </c>
      <c r="C51">
        <v>5766</v>
      </c>
      <c r="D51">
        <v>0</v>
      </c>
      <c r="E51">
        <v>4909</v>
      </c>
      <c r="F51" s="2">
        <f t="shared" si="6"/>
        <v>5337.5</v>
      </c>
      <c r="G51" t="b">
        <f t="shared" si="10"/>
        <v>1</v>
      </c>
      <c r="H51">
        <v>1</v>
      </c>
      <c r="I51">
        <v>0</v>
      </c>
      <c r="J51" t="b">
        <f>H51&gt;I51</f>
        <v>1</v>
      </c>
      <c r="K51">
        <v>1</v>
      </c>
      <c r="L51">
        <v>0</v>
      </c>
      <c r="M51" t="b">
        <f t="shared" si="7"/>
        <v>1</v>
      </c>
      <c r="N51">
        <v>1</v>
      </c>
      <c r="O51">
        <v>0</v>
      </c>
      <c r="P51" t="b">
        <f t="shared" si="8"/>
        <v>1</v>
      </c>
      <c r="Q51">
        <v>1</v>
      </c>
      <c r="R51">
        <v>0</v>
      </c>
      <c r="S51" t="b">
        <f t="shared" si="9"/>
        <v>1</v>
      </c>
    </row>
    <row r="52" spans="1:19" x14ac:dyDescent="0.3">
      <c r="A52" t="s">
        <v>51</v>
      </c>
      <c r="B52">
        <v>1</v>
      </c>
      <c r="C52">
        <v>5299</v>
      </c>
      <c r="D52">
        <v>1</v>
      </c>
      <c r="E52">
        <v>5397</v>
      </c>
      <c r="F52" s="2">
        <f t="shared" si="6"/>
        <v>5348</v>
      </c>
      <c r="G52" t="b">
        <f t="shared" si="10"/>
        <v>0</v>
      </c>
      <c r="H52">
        <v>1</v>
      </c>
      <c r="I52">
        <v>1</v>
      </c>
      <c r="J52" t="b">
        <f>H52&gt;I52</f>
        <v>0</v>
      </c>
      <c r="K52">
        <v>1</v>
      </c>
      <c r="L52">
        <v>1</v>
      </c>
      <c r="M52" t="b">
        <f t="shared" si="7"/>
        <v>0</v>
      </c>
      <c r="N52">
        <v>1</v>
      </c>
      <c r="O52">
        <v>1</v>
      </c>
      <c r="P52" t="b">
        <f t="shared" si="8"/>
        <v>0</v>
      </c>
      <c r="Q52">
        <v>1</v>
      </c>
      <c r="R52">
        <v>1</v>
      </c>
      <c r="S52" t="b">
        <f t="shared" si="9"/>
        <v>0</v>
      </c>
    </row>
    <row r="53" spans="1:19" x14ac:dyDescent="0.3">
      <c r="A53" t="s">
        <v>52</v>
      </c>
      <c r="B53">
        <v>1</v>
      </c>
      <c r="C53">
        <v>4154</v>
      </c>
      <c r="D53">
        <v>1</v>
      </c>
      <c r="E53">
        <v>4490</v>
      </c>
      <c r="F53" s="2">
        <f t="shared" si="6"/>
        <v>4322</v>
      </c>
      <c r="G53" t="b">
        <f t="shared" si="10"/>
        <v>0</v>
      </c>
      <c r="H53">
        <v>1</v>
      </c>
      <c r="I53">
        <v>1</v>
      </c>
      <c r="J53" t="b">
        <f>H53&gt;I53</f>
        <v>0</v>
      </c>
      <c r="K53">
        <v>1</v>
      </c>
      <c r="L53">
        <v>1</v>
      </c>
      <c r="M53" t="b">
        <f t="shared" si="7"/>
        <v>0</v>
      </c>
      <c r="N53">
        <v>1</v>
      </c>
      <c r="O53">
        <v>1</v>
      </c>
      <c r="P53" t="b">
        <f t="shared" si="8"/>
        <v>0</v>
      </c>
      <c r="Q53">
        <v>1</v>
      </c>
      <c r="R53">
        <v>1</v>
      </c>
      <c r="S53" t="b">
        <f t="shared" si="9"/>
        <v>0</v>
      </c>
    </row>
    <row r="54" spans="1:19" x14ac:dyDescent="0.3">
      <c r="A54" t="s">
        <v>53</v>
      </c>
      <c r="B54">
        <v>1</v>
      </c>
      <c r="C54">
        <v>3975</v>
      </c>
      <c r="D54">
        <v>0</v>
      </c>
      <c r="E54">
        <v>3989</v>
      </c>
      <c r="F54" s="2">
        <f t="shared" si="6"/>
        <v>3982</v>
      </c>
      <c r="G54" t="b">
        <f t="shared" si="10"/>
        <v>1</v>
      </c>
      <c r="H54">
        <v>1</v>
      </c>
      <c r="I54">
        <v>0</v>
      </c>
      <c r="J54" t="b">
        <f>H54&gt;I54</f>
        <v>1</v>
      </c>
      <c r="K54">
        <v>1</v>
      </c>
      <c r="L54">
        <v>0</v>
      </c>
      <c r="M54" t="b">
        <f t="shared" si="7"/>
        <v>1</v>
      </c>
      <c r="N54">
        <v>1</v>
      </c>
      <c r="O54">
        <v>0</v>
      </c>
      <c r="P54" t="b">
        <f t="shared" si="8"/>
        <v>1</v>
      </c>
      <c r="Q54">
        <v>1</v>
      </c>
      <c r="R54">
        <v>0</v>
      </c>
      <c r="S54" t="b">
        <f t="shared" si="9"/>
        <v>1</v>
      </c>
    </row>
    <row r="55" spans="1:19" x14ac:dyDescent="0.3">
      <c r="A55" t="s">
        <v>54</v>
      </c>
      <c r="B55">
        <v>0</v>
      </c>
      <c r="C55">
        <v>4202</v>
      </c>
      <c r="D55">
        <v>0</v>
      </c>
      <c r="E55">
        <v>4021</v>
      </c>
      <c r="F55" s="2">
        <f t="shared" si="6"/>
        <v>4111.5</v>
      </c>
      <c r="G55" t="b">
        <f t="shared" si="10"/>
        <v>0</v>
      </c>
      <c r="H55">
        <v>0</v>
      </c>
      <c r="I55">
        <v>0</v>
      </c>
      <c r="J55" t="b">
        <f>H55&gt;I55</f>
        <v>0</v>
      </c>
      <c r="K55">
        <v>0</v>
      </c>
      <c r="L55">
        <v>0</v>
      </c>
      <c r="M55" t="b">
        <f t="shared" si="7"/>
        <v>0</v>
      </c>
      <c r="N55">
        <v>0</v>
      </c>
      <c r="O55">
        <v>0</v>
      </c>
      <c r="P55" t="b">
        <f t="shared" si="8"/>
        <v>0</v>
      </c>
      <c r="Q55">
        <v>0</v>
      </c>
      <c r="R55">
        <v>0</v>
      </c>
      <c r="S55" t="b">
        <f t="shared" si="9"/>
        <v>0</v>
      </c>
    </row>
    <row r="56" spans="1:19" x14ac:dyDescent="0.3">
      <c r="A56" t="s">
        <v>55</v>
      </c>
      <c r="B56">
        <v>1</v>
      </c>
      <c r="C56">
        <v>5025</v>
      </c>
      <c r="D56">
        <v>0</v>
      </c>
      <c r="E56">
        <v>4955</v>
      </c>
      <c r="F56" s="2">
        <f t="shared" si="6"/>
        <v>4990</v>
      </c>
      <c r="G56" t="b">
        <f t="shared" si="10"/>
        <v>1</v>
      </c>
      <c r="H56">
        <v>1</v>
      </c>
      <c r="I56">
        <v>0</v>
      </c>
      <c r="J56" t="b">
        <f>H56&gt;I56</f>
        <v>1</v>
      </c>
      <c r="K56">
        <v>1</v>
      </c>
      <c r="L56">
        <v>0</v>
      </c>
      <c r="M56" t="b">
        <f t="shared" si="7"/>
        <v>1</v>
      </c>
      <c r="N56">
        <v>1</v>
      </c>
      <c r="O56">
        <v>0</v>
      </c>
      <c r="P56" t="b">
        <f t="shared" si="8"/>
        <v>1</v>
      </c>
      <c r="Q56">
        <v>1</v>
      </c>
      <c r="R56">
        <v>0</v>
      </c>
      <c r="S56" t="b">
        <f t="shared" si="9"/>
        <v>1</v>
      </c>
    </row>
    <row r="57" spans="1:19" x14ac:dyDescent="0.3">
      <c r="A57" t="s">
        <v>56</v>
      </c>
      <c r="B57">
        <v>1</v>
      </c>
      <c r="C57">
        <v>14085</v>
      </c>
      <c r="D57">
        <v>0</v>
      </c>
      <c r="E57">
        <v>3956</v>
      </c>
      <c r="F57" s="2">
        <f t="shared" si="6"/>
        <v>9020.5</v>
      </c>
      <c r="G57" t="b">
        <f t="shared" si="10"/>
        <v>1</v>
      </c>
      <c r="H57">
        <v>1</v>
      </c>
      <c r="I57">
        <v>1</v>
      </c>
      <c r="J57" t="b">
        <f>H57&gt;I57</f>
        <v>0</v>
      </c>
      <c r="K57">
        <v>1</v>
      </c>
      <c r="L57">
        <v>1</v>
      </c>
      <c r="M57" t="b">
        <f t="shared" si="7"/>
        <v>0</v>
      </c>
      <c r="N57">
        <v>1</v>
      </c>
      <c r="O57">
        <v>1</v>
      </c>
      <c r="P57" t="b">
        <f t="shared" si="8"/>
        <v>0</v>
      </c>
      <c r="Q57">
        <v>1</v>
      </c>
      <c r="R57">
        <v>1</v>
      </c>
      <c r="S57" t="b">
        <f t="shared" si="9"/>
        <v>0</v>
      </c>
    </row>
    <row r="58" spans="1:19" x14ac:dyDescent="0.3">
      <c r="A58" t="s">
        <v>57</v>
      </c>
      <c r="B58">
        <v>0</v>
      </c>
      <c r="C58">
        <v>4106</v>
      </c>
      <c r="D58">
        <v>0</v>
      </c>
      <c r="E58">
        <v>4767</v>
      </c>
      <c r="F58" s="2">
        <f t="shared" si="6"/>
        <v>4436.5</v>
      </c>
      <c r="G58" t="b">
        <f t="shared" si="10"/>
        <v>0</v>
      </c>
      <c r="H58">
        <v>0</v>
      </c>
      <c r="I58">
        <v>0</v>
      </c>
      <c r="J58" t="b">
        <f>H58&gt;I58</f>
        <v>0</v>
      </c>
      <c r="K58">
        <v>0</v>
      </c>
      <c r="L58">
        <v>0</v>
      </c>
      <c r="M58" t="b">
        <f t="shared" si="7"/>
        <v>0</v>
      </c>
      <c r="N58">
        <v>0</v>
      </c>
      <c r="O58">
        <v>0</v>
      </c>
      <c r="P58" t="b">
        <f t="shared" si="8"/>
        <v>0</v>
      </c>
      <c r="Q58">
        <v>0</v>
      </c>
      <c r="R58">
        <v>0</v>
      </c>
      <c r="S58" t="b">
        <f t="shared" si="9"/>
        <v>0</v>
      </c>
    </row>
    <row r="59" spans="1:19" x14ac:dyDescent="0.3">
      <c r="A59" t="s">
        <v>58</v>
      </c>
      <c r="B59">
        <v>0</v>
      </c>
      <c r="C59">
        <v>4528</v>
      </c>
      <c r="D59">
        <v>0</v>
      </c>
      <c r="E59">
        <v>4056</v>
      </c>
      <c r="F59" s="2">
        <f t="shared" si="6"/>
        <v>4292</v>
      </c>
      <c r="G59" t="b">
        <f t="shared" si="10"/>
        <v>0</v>
      </c>
      <c r="H59">
        <v>0</v>
      </c>
      <c r="I59">
        <v>0</v>
      </c>
      <c r="J59" t="b">
        <f>H59&gt;I59</f>
        <v>0</v>
      </c>
      <c r="K59">
        <v>0</v>
      </c>
      <c r="L59">
        <v>0</v>
      </c>
      <c r="M59" t="b">
        <f t="shared" si="7"/>
        <v>0</v>
      </c>
      <c r="N59">
        <v>0</v>
      </c>
      <c r="O59">
        <v>0</v>
      </c>
      <c r="P59" t="b">
        <f t="shared" si="8"/>
        <v>0</v>
      </c>
      <c r="Q59">
        <v>0</v>
      </c>
      <c r="R59">
        <v>0</v>
      </c>
      <c r="S59" t="b">
        <f t="shared" si="9"/>
        <v>0</v>
      </c>
    </row>
    <row r="60" spans="1:19" x14ac:dyDescent="0.3">
      <c r="A60" t="s">
        <v>59</v>
      </c>
      <c r="B60">
        <v>0</v>
      </c>
      <c r="C60">
        <v>3799</v>
      </c>
      <c r="D60">
        <v>0</v>
      </c>
      <c r="E60">
        <v>3585</v>
      </c>
      <c r="F60" s="2">
        <f t="shared" si="6"/>
        <v>3692</v>
      </c>
      <c r="G60" t="b">
        <f t="shared" si="10"/>
        <v>0</v>
      </c>
      <c r="H60">
        <v>0</v>
      </c>
      <c r="I60">
        <v>0</v>
      </c>
      <c r="J60" t="b">
        <f>H60&gt;I60</f>
        <v>0</v>
      </c>
      <c r="K60">
        <v>0</v>
      </c>
      <c r="L60">
        <v>0</v>
      </c>
      <c r="M60" t="b">
        <f t="shared" si="7"/>
        <v>0</v>
      </c>
      <c r="N60">
        <v>0</v>
      </c>
      <c r="O60">
        <v>0</v>
      </c>
      <c r="P60" t="b">
        <f t="shared" si="8"/>
        <v>0</v>
      </c>
      <c r="Q60">
        <v>0</v>
      </c>
      <c r="R60">
        <v>0</v>
      </c>
      <c r="S60" t="b">
        <f t="shared" si="9"/>
        <v>0</v>
      </c>
    </row>
    <row r="61" spans="1:19" x14ac:dyDescent="0.3">
      <c r="A61" t="s">
        <v>60</v>
      </c>
      <c r="B61">
        <v>1</v>
      </c>
      <c r="C61">
        <v>4938</v>
      </c>
      <c r="D61">
        <v>0</v>
      </c>
      <c r="E61">
        <v>4142</v>
      </c>
      <c r="F61" s="2">
        <f t="shared" si="6"/>
        <v>4540</v>
      </c>
      <c r="G61" t="b">
        <f t="shared" si="10"/>
        <v>1</v>
      </c>
      <c r="H61">
        <v>1</v>
      </c>
      <c r="I61">
        <v>0</v>
      </c>
      <c r="J61" t="b">
        <f>H61&gt;I61</f>
        <v>1</v>
      </c>
      <c r="K61">
        <v>1</v>
      </c>
      <c r="L61">
        <v>0</v>
      </c>
      <c r="M61" t="b">
        <f t="shared" si="7"/>
        <v>1</v>
      </c>
      <c r="N61">
        <v>1</v>
      </c>
      <c r="O61">
        <v>0</v>
      </c>
      <c r="P61" t="b">
        <f t="shared" si="8"/>
        <v>1</v>
      </c>
      <c r="Q61">
        <v>1</v>
      </c>
      <c r="R61">
        <v>0</v>
      </c>
      <c r="S61" t="b">
        <f t="shared" si="9"/>
        <v>1</v>
      </c>
    </row>
    <row r="62" spans="1:19" x14ac:dyDescent="0.3">
      <c r="A62" t="s">
        <v>61</v>
      </c>
      <c r="B62">
        <v>2</v>
      </c>
      <c r="C62">
        <v>3533</v>
      </c>
      <c r="D62">
        <v>0</v>
      </c>
      <c r="E62">
        <v>3483</v>
      </c>
      <c r="F62" s="2">
        <f t="shared" si="6"/>
        <v>3508</v>
      </c>
      <c r="G62" t="b">
        <f t="shared" si="10"/>
        <v>1</v>
      </c>
      <c r="H62">
        <v>2</v>
      </c>
      <c r="I62">
        <v>0</v>
      </c>
      <c r="J62" t="b">
        <f>H62&gt;I62</f>
        <v>1</v>
      </c>
      <c r="K62">
        <v>2</v>
      </c>
      <c r="L62">
        <v>0</v>
      </c>
      <c r="M62" t="b">
        <f t="shared" si="7"/>
        <v>1</v>
      </c>
      <c r="N62">
        <v>2</v>
      </c>
      <c r="O62">
        <v>0</v>
      </c>
      <c r="P62" t="b">
        <f t="shared" si="8"/>
        <v>1</v>
      </c>
      <c r="Q62">
        <v>2</v>
      </c>
      <c r="R62">
        <v>0</v>
      </c>
      <c r="S62" t="b">
        <f t="shared" si="9"/>
        <v>1</v>
      </c>
    </row>
    <row r="63" spans="1:19" x14ac:dyDescent="0.3">
      <c r="A63" t="s">
        <v>62</v>
      </c>
      <c r="B63">
        <v>1</v>
      </c>
      <c r="C63">
        <v>3353</v>
      </c>
      <c r="D63">
        <v>0</v>
      </c>
      <c r="E63">
        <v>3327</v>
      </c>
      <c r="F63" s="2">
        <f t="shared" si="6"/>
        <v>3340</v>
      </c>
      <c r="G63" t="b">
        <f t="shared" si="10"/>
        <v>1</v>
      </c>
      <c r="H63">
        <v>1</v>
      </c>
      <c r="I63">
        <v>0</v>
      </c>
      <c r="J63" t="b">
        <f>H63&gt;I63</f>
        <v>1</v>
      </c>
      <c r="K63">
        <v>1</v>
      </c>
      <c r="L63">
        <v>0</v>
      </c>
      <c r="M63" t="b">
        <f t="shared" si="7"/>
        <v>1</v>
      </c>
      <c r="N63">
        <v>1</v>
      </c>
      <c r="O63">
        <v>0</v>
      </c>
      <c r="P63" t="b">
        <f t="shared" si="8"/>
        <v>1</v>
      </c>
      <c r="Q63">
        <v>1</v>
      </c>
      <c r="R63">
        <v>0</v>
      </c>
      <c r="S63" t="b">
        <f t="shared" si="9"/>
        <v>1</v>
      </c>
    </row>
    <row r="64" spans="1:19" x14ac:dyDescent="0.3">
      <c r="A64" t="s">
        <v>63</v>
      </c>
      <c r="B64">
        <v>1</v>
      </c>
      <c r="C64">
        <v>3188</v>
      </c>
      <c r="D64">
        <v>0</v>
      </c>
      <c r="E64">
        <v>3612</v>
      </c>
      <c r="F64" s="2">
        <f t="shared" si="6"/>
        <v>3400</v>
      </c>
      <c r="G64" t="b">
        <f t="shared" si="10"/>
        <v>1</v>
      </c>
      <c r="H64">
        <v>1</v>
      </c>
      <c r="I64">
        <v>0</v>
      </c>
      <c r="J64" t="b">
        <f>H64&gt;I64</f>
        <v>1</v>
      </c>
      <c r="K64">
        <v>1</v>
      </c>
      <c r="L64">
        <v>0</v>
      </c>
      <c r="M64" t="b">
        <f t="shared" si="7"/>
        <v>1</v>
      </c>
      <c r="N64">
        <v>1</v>
      </c>
      <c r="O64">
        <v>0</v>
      </c>
      <c r="P64" t="b">
        <f t="shared" si="8"/>
        <v>1</v>
      </c>
      <c r="Q64">
        <v>1</v>
      </c>
      <c r="R64">
        <v>0</v>
      </c>
      <c r="S64" t="b">
        <f t="shared" si="9"/>
        <v>1</v>
      </c>
    </row>
    <row r="65" spans="1:19" x14ac:dyDescent="0.3">
      <c r="A65" t="s">
        <v>64</v>
      </c>
      <c r="B65">
        <v>2</v>
      </c>
      <c r="C65">
        <v>4224</v>
      </c>
      <c r="D65">
        <v>0</v>
      </c>
      <c r="E65">
        <v>4155</v>
      </c>
      <c r="F65" s="2">
        <f t="shared" si="6"/>
        <v>4189.5</v>
      </c>
      <c r="G65" t="b">
        <f t="shared" si="10"/>
        <v>1</v>
      </c>
      <c r="H65">
        <v>2</v>
      </c>
      <c r="I65">
        <v>0</v>
      </c>
      <c r="J65" t="b">
        <f>H65&gt;I65</f>
        <v>1</v>
      </c>
      <c r="K65">
        <v>2</v>
      </c>
      <c r="L65">
        <v>0</v>
      </c>
      <c r="M65" t="b">
        <f t="shared" si="7"/>
        <v>1</v>
      </c>
      <c r="N65">
        <v>2</v>
      </c>
      <c r="O65">
        <v>0</v>
      </c>
      <c r="P65" t="b">
        <f t="shared" si="8"/>
        <v>1</v>
      </c>
      <c r="Q65">
        <v>2</v>
      </c>
      <c r="R65">
        <v>0</v>
      </c>
      <c r="S65" t="b">
        <f t="shared" si="9"/>
        <v>1</v>
      </c>
    </row>
    <row r="66" spans="1:19" x14ac:dyDescent="0.3">
      <c r="A66" t="s">
        <v>65</v>
      </c>
      <c r="B66">
        <v>1</v>
      </c>
      <c r="C66">
        <v>4023</v>
      </c>
      <c r="D66">
        <v>0</v>
      </c>
      <c r="E66">
        <v>3988</v>
      </c>
      <c r="F66" s="2">
        <f t="shared" ref="F66:F97" si="11">AVERAGE(C66,E66)</f>
        <v>4005.5</v>
      </c>
      <c r="G66" t="b">
        <f t="shared" ref="G66:G73" si="12">B66&gt;D66</f>
        <v>1</v>
      </c>
      <c r="H66">
        <v>1</v>
      </c>
      <c r="I66">
        <v>0</v>
      </c>
      <c r="J66" t="b">
        <f>H66&gt;I66</f>
        <v>1</v>
      </c>
      <c r="K66">
        <v>1</v>
      </c>
      <c r="L66">
        <v>0</v>
      </c>
      <c r="M66" t="b">
        <f t="shared" ref="M66:M73" si="13">K66&gt;L66</f>
        <v>1</v>
      </c>
      <c r="N66">
        <v>1</v>
      </c>
      <c r="O66">
        <v>0</v>
      </c>
      <c r="P66" t="b">
        <f t="shared" ref="P66:P73" si="14">N66&gt;O66</f>
        <v>1</v>
      </c>
      <c r="Q66">
        <v>1</v>
      </c>
      <c r="R66">
        <v>0</v>
      </c>
      <c r="S66" t="b">
        <f t="shared" ref="S66:S73" si="15">Q66&gt;R66</f>
        <v>1</v>
      </c>
    </row>
    <row r="67" spans="1:19" x14ac:dyDescent="0.3">
      <c r="A67" t="s">
        <v>66</v>
      </c>
      <c r="B67">
        <v>1</v>
      </c>
      <c r="C67">
        <v>4563</v>
      </c>
      <c r="D67">
        <v>0</v>
      </c>
      <c r="E67">
        <v>4236</v>
      </c>
      <c r="F67" s="2">
        <f t="shared" si="11"/>
        <v>4399.5</v>
      </c>
      <c r="G67" t="b">
        <f t="shared" si="12"/>
        <v>1</v>
      </c>
      <c r="H67">
        <v>1</v>
      </c>
      <c r="I67">
        <v>0</v>
      </c>
      <c r="J67" t="b">
        <f>H67&gt;I67</f>
        <v>1</v>
      </c>
      <c r="K67">
        <v>1</v>
      </c>
      <c r="L67">
        <v>0</v>
      </c>
      <c r="M67" t="b">
        <f t="shared" si="13"/>
        <v>1</v>
      </c>
      <c r="N67">
        <v>1</v>
      </c>
      <c r="O67">
        <v>0</v>
      </c>
      <c r="P67" t="b">
        <f t="shared" si="14"/>
        <v>1</v>
      </c>
      <c r="Q67">
        <v>1</v>
      </c>
      <c r="R67">
        <v>1</v>
      </c>
      <c r="S67" t="b">
        <f t="shared" si="15"/>
        <v>0</v>
      </c>
    </row>
    <row r="68" spans="1:19" x14ac:dyDescent="0.3">
      <c r="A68" t="s">
        <v>67</v>
      </c>
      <c r="B68">
        <v>1</v>
      </c>
      <c r="C68">
        <v>4425</v>
      </c>
      <c r="D68">
        <v>0</v>
      </c>
      <c r="E68">
        <v>3854</v>
      </c>
      <c r="F68" s="2">
        <f t="shared" si="11"/>
        <v>4139.5</v>
      </c>
      <c r="G68" t="b">
        <f t="shared" si="12"/>
        <v>1</v>
      </c>
      <c r="H68">
        <v>1</v>
      </c>
      <c r="I68">
        <v>0</v>
      </c>
      <c r="J68" t="b">
        <f>H68&gt;I68</f>
        <v>1</v>
      </c>
      <c r="K68">
        <v>1</v>
      </c>
      <c r="L68">
        <v>0</v>
      </c>
      <c r="M68" t="b">
        <f t="shared" si="13"/>
        <v>1</v>
      </c>
      <c r="N68">
        <v>1</v>
      </c>
      <c r="O68">
        <v>0</v>
      </c>
      <c r="P68" t="b">
        <f t="shared" si="14"/>
        <v>1</v>
      </c>
      <c r="Q68">
        <v>1</v>
      </c>
      <c r="R68">
        <v>0</v>
      </c>
      <c r="S68" t="b">
        <f t="shared" si="15"/>
        <v>1</v>
      </c>
    </row>
    <row r="69" spans="1:19" x14ac:dyDescent="0.3">
      <c r="A69" t="s">
        <v>68</v>
      </c>
      <c r="B69">
        <v>1</v>
      </c>
      <c r="C69">
        <v>4277</v>
      </c>
      <c r="D69">
        <v>0</v>
      </c>
      <c r="E69">
        <v>5242</v>
      </c>
      <c r="F69" s="2">
        <f t="shared" si="11"/>
        <v>4759.5</v>
      </c>
      <c r="G69" t="b">
        <f t="shared" si="12"/>
        <v>1</v>
      </c>
      <c r="H69">
        <v>1</v>
      </c>
      <c r="I69">
        <v>0</v>
      </c>
      <c r="J69" t="b">
        <f>H69&gt;I69</f>
        <v>1</v>
      </c>
      <c r="K69">
        <v>1</v>
      </c>
      <c r="L69">
        <v>0</v>
      </c>
      <c r="M69" t="b">
        <f t="shared" si="13"/>
        <v>1</v>
      </c>
      <c r="N69">
        <v>1</v>
      </c>
      <c r="O69">
        <v>0</v>
      </c>
      <c r="P69" t="b">
        <f t="shared" si="14"/>
        <v>1</v>
      </c>
      <c r="Q69">
        <v>1</v>
      </c>
      <c r="R69">
        <v>0</v>
      </c>
      <c r="S69" t="b">
        <f t="shared" si="15"/>
        <v>1</v>
      </c>
    </row>
    <row r="70" spans="1:19" x14ac:dyDescent="0.3">
      <c r="A70" t="s">
        <v>69</v>
      </c>
      <c r="B70">
        <v>1</v>
      </c>
      <c r="C70">
        <v>3852</v>
      </c>
      <c r="D70">
        <v>0</v>
      </c>
      <c r="E70">
        <v>4297</v>
      </c>
      <c r="F70" s="2">
        <f t="shared" si="11"/>
        <v>4074.5</v>
      </c>
      <c r="G70" t="b">
        <f t="shared" si="12"/>
        <v>1</v>
      </c>
      <c r="H70">
        <v>1</v>
      </c>
      <c r="I70">
        <v>0</v>
      </c>
      <c r="J70" t="b">
        <f>H70&gt;I70</f>
        <v>1</v>
      </c>
      <c r="K70">
        <v>1</v>
      </c>
      <c r="L70">
        <v>0</v>
      </c>
      <c r="M70" t="b">
        <f t="shared" si="13"/>
        <v>1</v>
      </c>
      <c r="N70">
        <v>1</v>
      </c>
      <c r="O70">
        <v>0</v>
      </c>
      <c r="P70" t="b">
        <f t="shared" si="14"/>
        <v>1</v>
      </c>
      <c r="Q70">
        <v>1</v>
      </c>
      <c r="R70">
        <v>0</v>
      </c>
      <c r="S70" t="b">
        <f t="shared" si="15"/>
        <v>1</v>
      </c>
    </row>
    <row r="71" spans="1:19" x14ac:dyDescent="0.3">
      <c r="A71" t="s">
        <v>70</v>
      </c>
      <c r="B71">
        <v>1</v>
      </c>
      <c r="C71">
        <v>5256</v>
      </c>
      <c r="D71">
        <v>0</v>
      </c>
      <c r="E71">
        <v>5224</v>
      </c>
      <c r="F71" s="2">
        <f t="shared" si="11"/>
        <v>5240</v>
      </c>
      <c r="G71" t="b">
        <f t="shared" si="12"/>
        <v>1</v>
      </c>
      <c r="H71">
        <v>1</v>
      </c>
      <c r="I71">
        <v>0</v>
      </c>
      <c r="J71" t="b">
        <f>H71&gt;I71</f>
        <v>1</v>
      </c>
      <c r="K71">
        <v>1</v>
      </c>
      <c r="L71">
        <v>0</v>
      </c>
      <c r="M71" t="b">
        <f t="shared" si="13"/>
        <v>1</v>
      </c>
      <c r="N71">
        <v>1</v>
      </c>
      <c r="O71">
        <v>0</v>
      </c>
      <c r="P71" t="b">
        <f t="shared" si="14"/>
        <v>1</v>
      </c>
      <c r="Q71">
        <v>1</v>
      </c>
      <c r="R71">
        <v>0</v>
      </c>
      <c r="S71" t="b">
        <f t="shared" si="15"/>
        <v>1</v>
      </c>
    </row>
    <row r="72" spans="1:19" x14ac:dyDescent="0.3">
      <c r="A72" t="s">
        <v>71</v>
      </c>
      <c r="B72">
        <v>1</v>
      </c>
      <c r="C72">
        <v>3754</v>
      </c>
      <c r="D72">
        <v>0</v>
      </c>
      <c r="E72">
        <v>4527</v>
      </c>
      <c r="F72" s="2">
        <f t="shared" si="11"/>
        <v>4140.5</v>
      </c>
      <c r="G72" t="b">
        <f t="shared" si="12"/>
        <v>1</v>
      </c>
      <c r="J72" t="b">
        <f>H72&gt;I72</f>
        <v>0</v>
      </c>
      <c r="M72" t="b">
        <f t="shared" si="13"/>
        <v>0</v>
      </c>
      <c r="P72" t="b">
        <f t="shared" si="14"/>
        <v>0</v>
      </c>
      <c r="S72" t="b">
        <f t="shared" si="15"/>
        <v>0</v>
      </c>
    </row>
    <row r="73" spans="1:19" x14ac:dyDescent="0.3">
      <c r="A73" t="s">
        <v>72</v>
      </c>
      <c r="B73">
        <v>3</v>
      </c>
      <c r="C73">
        <v>3474</v>
      </c>
      <c r="D73">
        <v>0</v>
      </c>
      <c r="E73">
        <v>3864</v>
      </c>
      <c r="F73" s="2">
        <f t="shared" si="11"/>
        <v>3669</v>
      </c>
      <c r="G73" t="b">
        <f t="shared" si="12"/>
        <v>1</v>
      </c>
      <c r="H73">
        <v>3</v>
      </c>
      <c r="I73">
        <v>0</v>
      </c>
      <c r="J73" t="b">
        <f>H73&gt;I73</f>
        <v>1</v>
      </c>
      <c r="K73">
        <v>3</v>
      </c>
      <c r="L73">
        <v>0</v>
      </c>
      <c r="M73" t="b">
        <f t="shared" si="13"/>
        <v>1</v>
      </c>
      <c r="N73">
        <v>3</v>
      </c>
      <c r="O73">
        <v>0</v>
      </c>
      <c r="P73" t="b">
        <f t="shared" si="14"/>
        <v>1</v>
      </c>
      <c r="Q73">
        <v>3</v>
      </c>
      <c r="R73">
        <v>0</v>
      </c>
      <c r="S73" t="b">
        <f t="shared" si="15"/>
        <v>1</v>
      </c>
    </row>
    <row r="75" spans="1:19" x14ac:dyDescent="0.3">
      <c r="A75" t="s">
        <v>88</v>
      </c>
      <c r="G75">
        <v>72</v>
      </c>
      <c r="J75">
        <v>72</v>
      </c>
      <c r="M75">
        <v>72</v>
      </c>
      <c r="P75">
        <v>72</v>
      </c>
      <c r="S75">
        <v>72</v>
      </c>
    </row>
    <row r="76" spans="1:19" x14ac:dyDescent="0.3">
      <c r="A76" t="s">
        <v>91</v>
      </c>
      <c r="B76" t="s">
        <v>95</v>
      </c>
      <c r="G76">
        <f>COUNTIF(G2:G73, TRUE)</f>
        <v>54</v>
      </c>
      <c r="J76">
        <f>COUNTIF(J2:J73, TRUE)</f>
        <v>52</v>
      </c>
      <c r="M76">
        <f>COUNTIF(M2:M73, TRUE)</f>
        <v>48</v>
      </c>
      <c r="P76">
        <f>COUNTIF(P2:P73, TRUE)</f>
        <v>49</v>
      </c>
      <c r="S76">
        <f>COUNTIF(S2:S73, TRUE)</f>
        <v>49</v>
      </c>
    </row>
    <row r="77" spans="1:19" x14ac:dyDescent="0.3">
      <c r="A77" t="s">
        <v>90</v>
      </c>
      <c r="G77">
        <f>COUNTIF(G2:G73, TRUE) / COUNTA(G2:G73)</f>
        <v>0.75</v>
      </c>
      <c r="J77">
        <f>COUNTIF(J2:J73, TRUE) / COUNTA(J2:J73)</f>
        <v>0.72222222222222221</v>
      </c>
      <c r="M77">
        <f>COUNTIF(M2:M73, TRUE) / COUNTA(M2:M73)</f>
        <v>0.66666666666666663</v>
      </c>
      <c r="P77">
        <f>COUNTIF(P2:P73, TRUE) / COUNTA(P2:P73)</f>
        <v>0.68055555555555558</v>
      </c>
      <c r="S77">
        <f>COUNTIF(S2:S73, TRUE) / COUNTA(S2:S73)</f>
        <v>0.68055555555555558</v>
      </c>
    </row>
    <row r="78" spans="1:19" x14ac:dyDescent="0.3">
      <c r="A78" t="s">
        <v>89</v>
      </c>
      <c r="B78" t="s">
        <v>93</v>
      </c>
      <c r="G78">
        <f>COUNTIF(B:B, 0)</f>
        <v>11</v>
      </c>
      <c r="J78">
        <f>COUNTIF(H:H, 0)</f>
        <v>11</v>
      </c>
      <c r="M78">
        <f>COUNTIF(K:K, 0)</f>
        <v>11</v>
      </c>
      <c r="P78">
        <f>COUNTIF(N:N, 0)</f>
        <v>13</v>
      </c>
      <c r="S78">
        <f>COUNTIF(Q:Q, 0)</f>
        <v>12</v>
      </c>
    </row>
    <row r="79" spans="1:19" x14ac:dyDescent="0.3">
      <c r="A79" t="s">
        <v>92</v>
      </c>
      <c r="B79" t="s">
        <v>94</v>
      </c>
      <c r="G79">
        <f>COUNTIF(D:D, "&gt;0")</f>
        <v>10</v>
      </c>
      <c r="J79">
        <f>COUNTIF(I:I, "&gt;0")</f>
        <v>11</v>
      </c>
      <c r="M79">
        <f>COUNTIF(L:L, "&gt;0")</f>
        <v>15</v>
      </c>
      <c r="P79">
        <f>COUNTIF(O:O, "&gt;0")</f>
        <v>12</v>
      </c>
      <c r="S79">
        <f>COUNTIF(R:R, "&gt;0")</f>
        <v>13</v>
      </c>
    </row>
    <row r="82" spans="1:2" x14ac:dyDescent="0.3">
      <c r="A82" t="s">
        <v>96</v>
      </c>
      <c r="B82" t="s">
        <v>100</v>
      </c>
    </row>
    <row r="83" spans="1:2" x14ac:dyDescent="0.3">
      <c r="A83" t="s">
        <v>97</v>
      </c>
      <c r="B83" t="s">
        <v>101</v>
      </c>
    </row>
    <row r="84" spans="1:2" x14ac:dyDescent="0.3">
      <c r="A84" t="s">
        <v>98</v>
      </c>
      <c r="B84" t="s">
        <v>102</v>
      </c>
    </row>
    <row r="85" spans="1:2" x14ac:dyDescent="0.3">
      <c r="A85" t="s">
        <v>99</v>
      </c>
      <c r="B85" t="s">
        <v>103</v>
      </c>
    </row>
  </sheetData>
  <phoneticPr fontId="1" type="noConversion"/>
  <conditionalFormatting sqref="G2">
    <cfRule type="expression" dxfId="34" priority="35">
      <formula xml:space="preserve"> $J2 = FALSE</formula>
    </cfRule>
    <cfRule type="expression" dxfId="33" priority="36">
      <formula xml:space="preserve"> $J2 = TRUE</formula>
    </cfRule>
  </conditionalFormatting>
  <conditionalFormatting sqref="G3:G4 G7:G10 G13 G16:G19 G21:G33 G35:G39 G41:G42 G44:G48 G50:G51 G54 G56:G57 G61:G73">
    <cfRule type="expression" dxfId="32" priority="45">
      <formula xml:space="preserve"> $G3 = TRUE</formula>
    </cfRule>
  </conditionalFormatting>
  <conditionalFormatting sqref="G5:G6">
    <cfRule type="expression" dxfId="31" priority="31">
      <formula xml:space="preserve"> $J5 = FALSE</formula>
    </cfRule>
    <cfRule type="expression" dxfId="30" priority="32">
      <formula xml:space="preserve"> $J5 = TRUE</formula>
    </cfRule>
  </conditionalFormatting>
  <conditionalFormatting sqref="G11:G12">
    <cfRule type="expression" dxfId="29" priority="27">
      <formula xml:space="preserve"> $J11 = FALSE</formula>
    </cfRule>
    <cfRule type="expression" dxfId="28" priority="28">
      <formula xml:space="preserve"> $J11 = TRUE</formula>
    </cfRule>
  </conditionalFormatting>
  <conditionalFormatting sqref="G14:G15">
    <cfRule type="expression" dxfId="27" priority="23">
      <formula xml:space="preserve"> $J14 = FALSE</formula>
    </cfRule>
    <cfRule type="expression" dxfId="26" priority="24">
      <formula xml:space="preserve"> $J14 = TRUE</formula>
    </cfRule>
  </conditionalFormatting>
  <conditionalFormatting sqref="G20">
    <cfRule type="expression" dxfId="25" priority="21">
      <formula xml:space="preserve"> $J20 = FALSE</formula>
    </cfRule>
    <cfRule type="expression" dxfId="24" priority="22">
      <formula xml:space="preserve"> $J20 = TRUE</formula>
    </cfRule>
  </conditionalFormatting>
  <conditionalFormatting sqref="G34">
    <cfRule type="expression" dxfId="23" priority="19">
      <formula xml:space="preserve"> $J34 = FALSE</formula>
    </cfRule>
    <cfRule type="expression" dxfId="22" priority="20">
      <formula xml:space="preserve"> $J34 = TRUE</formula>
    </cfRule>
  </conditionalFormatting>
  <conditionalFormatting sqref="G40">
    <cfRule type="expression" dxfId="21" priority="17">
      <formula xml:space="preserve"> $J40 = FALSE</formula>
    </cfRule>
    <cfRule type="expression" dxfId="20" priority="18">
      <formula xml:space="preserve"> $J40 = TRUE</formula>
    </cfRule>
  </conditionalFormatting>
  <conditionalFormatting sqref="G43">
    <cfRule type="expression" dxfId="19" priority="15">
      <formula xml:space="preserve"> $J43 = FALSE</formula>
    </cfRule>
    <cfRule type="expression" dxfId="18" priority="16">
      <formula xml:space="preserve"> $J43 = TRUE</formula>
    </cfRule>
  </conditionalFormatting>
  <conditionalFormatting sqref="G49">
    <cfRule type="expression" dxfId="17" priority="13">
      <formula xml:space="preserve"> $J49 = FALSE</formula>
    </cfRule>
    <cfRule type="expression" dxfId="16" priority="14">
      <formula xml:space="preserve"> $J49 = TRUE</formula>
    </cfRule>
  </conditionalFormatting>
  <conditionalFormatting sqref="G52:G53">
    <cfRule type="expression" dxfId="15" priority="9">
      <formula xml:space="preserve"> $J52 = FALSE</formula>
    </cfRule>
    <cfRule type="expression" dxfId="14" priority="10">
      <formula xml:space="preserve"> $J52 = TRUE</formula>
    </cfRule>
  </conditionalFormatting>
  <conditionalFormatting sqref="G55">
    <cfRule type="expression" dxfId="13" priority="7">
      <formula xml:space="preserve"> $J55 = FALSE</formula>
    </cfRule>
    <cfRule type="expression" dxfId="12" priority="8">
      <formula xml:space="preserve"> $J55 = TRUE</formula>
    </cfRule>
  </conditionalFormatting>
  <conditionalFormatting sqref="G58:G60">
    <cfRule type="expression" dxfId="11" priority="1">
      <formula xml:space="preserve"> $J58 = FALSE</formula>
    </cfRule>
    <cfRule type="expression" dxfId="10" priority="2">
      <formula xml:space="preserve"> $J58 = TRUE</formula>
    </cfRule>
  </conditionalFormatting>
  <conditionalFormatting sqref="J2:J73">
    <cfRule type="expression" dxfId="9" priority="37">
      <formula xml:space="preserve"> $J2 = FALSE</formula>
    </cfRule>
    <cfRule type="expression" dxfId="8" priority="44">
      <formula xml:space="preserve"> $J2 = TRUE</formula>
    </cfRule>
  </conditionalFormatting>
  <conditionalFormatting sqref="M2:M73">
    <cfRule type="expression" dxfId="7" priority="38">
      <formula xml:space="preserve"> $M2 = FALSE</formula>
    </cfRule>
    <cfRule type="expression" dxfId="6" priority="43">
      <formula xml:space="preserve"> $M2 = TRUE</formula>
    </cfRule>
  </conditionalFormatting>
  <conditionalFormatting sqref="P2:P73">
    <cfRule type="expression" dxfId="5" priority="39">
      <formula xml:space="preserve"> $P2 = FALSE</formula>
    </cfRule>
    <cfRule type="expression" dxfId="4" priority="42">
      <formula xml:space="preserve"> $P2 = TRUE</formula>
    </cfRule>
  </conditionalFormatting>
  <conditionalFormatting sqref="S2:S73">
    <cfRule type="expression" dxfId="3" priority="40">
      <formula xml:space="preserve"> $S2 = FALSE</formula>
    </cfRule>
    <cfRule type="expression" dxfId="2" priority="41">
      <formula xml:space="preserve"> $S2 = TRUE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5FE4-A340-4501-9351-399F41B5F127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EB8AE1-A146-45BD-8C1A-31570C8BB4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time_CVE</vt:lpstr>
      <vt:lpstr>result-hit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涵宇 张</dc:creator>
  <cp:lastModifiedBy>涵宇 张</cp:lastModifiedBy>
  <dcterms:created xsi:type="dcterms:W3CDTF">2026-05-13T05:23:25Z</dcterms:created>
  <dcterms:modified xsi:type="dcterms:W3CDTF">2026-05-14T07:00:20Z</dcterms:modified>
</cp:coreProperties>
</file>